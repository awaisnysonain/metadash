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8.xml" ContentType="application/vnd.openxmlformats-officedocument.drawingml.char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7b22e9286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 - How to Use" sheetId="1" r:id="R2e8d77a3bcb94d84"/>
    <x:sheet xmlns:r="http://schemas.openxmlformats.org/officeDocument/2006/relationships" name="Daily_Summary_Input" sheetId="2" r:id="R958b1ffb0947446f"/>
    <x:sheet xmlns:r="http://schemas.openxmlformats.org/officeDocument/2006/relationships" name="Ad_Sentiment_Input" sheetId="3" r:id="R4b20006536d74184"/>
    <x:sheet xmlns:r="http://schemas.openxmlformats.org/officeDocument/2006/relationships" name="Comments_Input" sheetId="4" r:id="Reb33d1964ecd4fa5"/>
    <x:sheet xmlns:r="http://schemas.openxmlformats.org/officeDocument/2006/relationships" name="Ads_Performance_Input" sheetId="5" r:id="R299c70ea6bf94952"/>
    <x:sheet xmlns:r="http://schemas.openxmlformats.org/officeDocument/2006/relationships" name="Executive_Dashboard" sheetId="6" r:id="R5bc71e81408b420f"/>
    <x:sheet xmlns:r="http://schemas.openxmlformats.org/officeDocument/2006/relationships" name="Brand_Report" sheetId="7" r:id="R3dde86e6e8d34355"/>
    <x:sheet xmlns:r="http://schemas.openxmlformats.org/officeDocument/2006/relationships" name="Sentiment_Report" sheetId="8" r:id="R44e9e8b4eeab4eb0"/>
    <x:sheet xmlns:r="http://schemas.openxmlformats.org/officeDocument/2006/relationships" name="High_Spend_Ads_Report" sheetId="9" r:id="R52ab32078d254a5a"/>
    <x:sheet xmlns:r="http://schemas.openxmlformats.org/officeDocument/2006/relationships" name="Filter_Count_QA" sheetId="10" r:id="R05062ded98fc4c8c"/>
    <x:sheet xmlns:r="http://schemas.openxmlformats.org/officeDocument/2006/relationships" name="UI_Change_Spec" sheetId="11" r:id="Rcc88bc787ccc4803"/>
    <x:sheet xmlns:r="http://schemas.openxmlformats.org/officeDocument/2006/relationships" name="Data_Dictionary" sheetId="12" r:id="Rd2bbaf38f6f4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yyyy-mm-dd"/>
    <x:numFmt numFmtId="202" formatCode="$#,##0.00"/>
    <x:numFmt numFmtId="203" formatCode="0.00%"/>
    <x:numFmt numFmtId="204" formatCode="$0.00"/>
    <x:numFmt numFmtId="205" formatCode="0.00"/>
    <x:numFmt numFmtId="206" formatCode="0.0%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11827"/>
      <x:name val="Carlito"/>
    </x:font>
    <x:font>
      <x:sz val="11"/>
      <x:color rgb="FF111827"/>
      <x:name val="Carlito"/>
    </x:font>
    <x:font>
      <x:b/>
      <x:sz val="18"/>
      <x:color rgb="FF1D4ED8"/>
      <x:name val="Carlito"/>
    </x:font>
    <x:font>
      <x:i/>
      <x:sz val="11"/>
      <x:color rgb="FF64748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6D28D9"/>
      </x:patternFill>
    </x:fill>
    <x:fill>
      <x:patternFill patternType="solid">
        <x:fgColor rgb="FF16A34A"/>
      </x:patternFill>
    </x:fill>
    <x:fill>
      <x:patternFill patternType="solid">
        <x:fgColor rgb="FFDC2626"/>
      </x:patternFill>
    </x:fill>
    <x:fill>
      <x:patternFill patternType="solid">
        <x:fgColor rgb="FFF59E0B"/>
      </x:patternFill>
    </x:fill>
    <x:fill>
      <x:patternFill patternType="solid">
        <x:fgColor rgb="FF64748B"/>
      </x:patternFill>
    </x:fill>
  </x:fills>
  <x:borders count="2">
    <x:border/>
    <x:border/>
  </x:borders>
  <x:cellStyleXfs count="1">
    <x:xf numFmtId="0" fontId="0" fillId="0" borderId="0"/>
  </x:cellStyleXfs>
  <x:cellXfs count="1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4" fontId="3" fillId="4" borderId="0" xfId="0" applyNumberFormat="1" applyFont="1" applyFill="1" applyBorder="1" applyAlignment="1">
      <x:alignment horizontal="center" vertical="center" wrapText="1"/>
    </x:xf>
    <x:xf numFmtId="204" fontId="3" fillId="4" borderId="1" xfId="0" applyNumberFormat="1" applyFont="1" applyFill="1" applyBorder="1" applyAlignment="1">
      <x:alignment horizontal="center" vertical="center" wrapText="1"/>
    </x:xf>
    <x:xf numFmtId="205" fontId="3" fillId="4" borderId="0" xfId="0" applyNumberFormat="1" applyFont="1" applyFill="1" applyBorder="1" applyAlignment="1">
      <x:alignment horizontal="center" vertical="center" wrapText="1"/>
    </x:xf>
    <x:xf numFmtId="205" fontId="3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206" fontId="1" fillId="6" borderId="0" xfId="0" applyNumberFormat="1" applyFont="1" applyFill="1" applyBorder="1" applyAlignment="1">
      <x:alignment horizontal="center" vertical="center"/>
    </x:xf>
    <x:xf numFmtId="206" fontId="1" fillId="6" borderId="1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202" fontId="1" fillId="9" borderId="0" xfId="0" applyNumberFormat="1" applyFont="1" applyFill="1" applyBorder="1" applyAlignment="1">
      <x:alignment horizontal="center" vertical="center"/>
    </x:xf>
    <x:xf numFmtId="202" fontId="1" fillId="9" borderId="1" xfId="0" applyNumberFormat="1" applyFont="1" applyFill="1" applyBorder="1" applyAlignment="1">
      <x:alignment horizontal="center" vertical="center"/>
    </x:xf>
    <x:xf numFmtId="205" fontId="1" fillId="9" borderId="0" xfId="0" applyNumberFormat="1" applyFont="1" applyFill="1" applyBorder="1" applyAlignment="1">
      <x:alignment horizontal="center" vertical="center"/>
    </x:xf>
    <x:xf numFmtId="205" fontId="1" fillId="9" borderId="1" xfId="0" applyNumberFormat="1" applyFont="1" applyFill="1" applyBorder="1" applyAlignment="1">
      <x:alignment horizontal="center" vertical="center"/>
    </x:xf>
    <x:xf numFmtId="203" fontId="1" fillId="9" borderId="0" xfId="0" applyNumberFormat="1" applyFont="1" applyFill="1" applyBorder="1" applyAlignment="1">
      <x:alignment horizontal="center" vertical="center"/>
    </x:xf>
    <x:xf numFmtId="203" fontId="1" fillId="9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2a687df2244ab" /><Relationship Type="http://schemas.openxmlformats.org/officeDocument/2006/relationships/theme" Target="/xl/theme/theme1.xml" Id="R38c200cc0604472e" /><Relationship Type="http://schemas.openxmlformats.org/officeDocument/2006/relationships/sharedStrings" Target="/xl/sharedStrings.xml" Id="Rd26c016601854f9a" /><Relationship Type="http://schemas.openxmlformats.org/officeDocument/2006/relationships/worksheet" Target="/xl/worksheets/sheet1.xml" Id="R2e8d77a3bcb94d84" /><Relationship Type="http://schemas.openxmlformats.org/officeDocument/2006/relationships/worksheet" Target="/xl/worksheets/sheet2.xml" Id="R958b1ffb0947446f" /><Relationship Type="http://schemas.openxmlformats.org/officeDocument/2006/relationships/worksheet" Target="/xl/worksheets/sheet3.xml" Id="R4b20006536d74184" /><Relationship Type="http://schemas.openxmlformats.org/officeDocument/2006/relationships/worksheet" Target="/xl/worksheets/sheet4.xml" Id="Reb33d1964ecd4fa5" /><Relationship Type="http://schemas.openxmlformats.org/officeDocument/2006/relationships/worksheet" Target="/xl/worksheets/sheet5.xml" Id="R299c70ea6bf94952" /><Relationship Type="http://schemas.openxmlformats.org/officeDocument/2006/relationships/worksheet" Target="/xl/worksheets/sheet6.xml" Id="R5bc71e81408b420f" /><Relationship Type="http://schemas.openxmlformats.org/officeDocument/2006/relationships/worksheet" Target="/xl/worksheets/sheet7.xml" Id="R3dde86e6e8d34355" /><Relationship Type="http://schemas.openxmlformats.org/officeDocument/2006/relationships/worksheet" Target="/xl/worksheets/sheet8.xml" Id="R44e9e8b4eeab4eb0" /><Relationship Type="http://schemas.openxmlformats.org/officeDocument/2006/relationships/worksheet" Target="/xl/worksheets/sheet9.xml" Id="R52ab32078d254a5a" /><Relationship Type="http://schemas.openxmlformats.org/officeDocument/2006/relationships/worksheet" Target="/xl/worksheets/sheet10.xml" Id="R05062ded98fc4c8c" /><Relationship Type="http://schemas.openxmlformats.org/officeDocument/2006/relationships/worksheet" Target="/xl/worksheets/sheet11.xml" Id="Rcc88bc787ccc4803" /><Relationship Type="http://schemas.openxmlformats.org/officeDocument/2006/relationships/worksheet" Target="/xl/worksheets/sheet12.xml" Id="Rd2bbaf38f6f44d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f6a454da974632" /><Relationship Type="http://schemas.openxmlformats.org/officeDocument/2006/relationships/chart" Target="/xl/drawings/charts/chart2.xml" Id="R6230acbdbf2d4fe5" /><Relationship Type="http://schemas.openxmlformats.org/officeDocument/2006/relationships/chart" Target="/xl/drawings/charts/chart3.xml" Id="R299d6ddeeb734e1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63b98feae4d4f65" /><Relationship Type="http://schemas.openxmlformats.org/officeDocument/2006/relationships/chart" Target="/xl/drawings/charts/chart5.xml" Id="Ra23e84521f3b48f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a052a16e9c94957" /><Relationship Type="http://schemas.openxmlformats.org/officeDocument/2006/relationships/chart" Target="/xl/drawings/charts/chart7.xml" Id="R4a02f45823384b0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f0d91117640649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Brand comment volume vs risk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Comments</c:v>
          </c:tx>
          <c:cat>
            <c:strRef>
              <c:f>'Executive_Dashboard'!$A$19:$A$21</c:f>
              <c:strCache>
                <c:ptCount val="0"/>
              </c:strCache>
            </c:strRef>
          </c:cat>
          <c:val>
            <c:numRef>
              <c:f>'Executive_Dashboard'!$B$19:$B$21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Negative + Complaint</c:v>
          </c:tx>
          <c:cat>
            <c:strRef>
              <c:f>'Executive_Dashboard'!$A$19:$A$21</c:f>
              <c:strCache>
                <c:ptCount val="0"/>
              </c:strCache>
            </c:strRef>
          </c:cat>
          <c:val>
            <c:numRef>
              <c:f>'Executive_Dashboard'!$C$19:$C$21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Sentiment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'Executive_Dashboard'!$E$19:$E$23</c:f>
              <c:strCache>
                <c:ptCount val="0"/>
              </c:strCache>
            </c:strRef>
          </c:cat>
          <c:val>
            <c:numRef>
              <c:f>'Executive_Dashboard'!$F$19:$F$23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ads by comments and risk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Brand</c:v>
          </c:tx>
          <c:cat>
            <c:strRef>
              <c:f>'Executive_Dashboard'!$K$19:$K$28</c:f>
              <c:strCache>
                <c:ptCount val="0"/>
              </c:strCache>
            </c:strRef>
          </c:cat>
          <c:val>
            <c:numRef>
              <c:f>'Executive_Dashboard'!$L$19:$L$28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</c:v>
          </c:tx>
          <c:cat>
            <c:strRef>
              <c:f>'Executive_Dashboard'!$K$19:$K$28</c:f>
              <c:strCache>
                <c:ptCount val="0"/>
              </c:strCache>
            </c:strRef>
          </c:cat>
          <c:val>
            <c:numRef>
              <c:f>'Executive_Dashboard'!$M$19:$M$28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Neg+Complaint</c:v>
          </c:tx>
          <c:cat>
            <c:strRef>
              <c:f>'Executive_Dashboard'!$K$19:$K$28</c:f>
              <c:strCache>
                <c:ptCount val="0"/>
              </c:strCache>
            </c:strRef>
          </c:cat>
          <c:val>
            <c:numRef>
              <c:f>'Executive_Dashboard'!$N$19:$N$28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Brand sentiment breakdown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'Brand_Report'!$A$4:$A$7</c:f>
              <c:strCache>
                <c:ptCount val="0"/>
              </c:strCache>
            </c:strRef>
          </c:cat>
          <c:val>
            <c:numRef>
              <c:f>'Brand_Report'!$B$4:$B$7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Positive</c:v>
          </c:tx>
          <c:cat>
            <c:strRef>
              <c:f>'Brand_Report'!$A$4:$A$7</c:f>
              <c:strCache>
                <c:ptCount val="0"/>
              </c:strCache>
            </c:strRef>
          </c:cat>
          <c:val>
            <c:numRef>
              <c:f>'Brand_Report'!$C$4:$C$7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Question</c:v>
          </c:tx>
          <c:cat>
            <c:strRef>
              <c:f>'Brand_Report'!$A$4:$A$7</c:f>
              <c:strCache>
                <c:ptCount val="0"/>
              </c:strCache>
            </c:strRef>
          </c:cat>
          <c:val>
            <c:numRef>
              <c:f>'Brand_Report'!$D$4:$D$7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Neutral</c:v>
          </c:tx>
          <c:cat>
            <c:strRef>
              <c:f>'Brand_Report'!$A$4:$A$7</c:f>
              <c:strCache>
                <c:ptCount val="0"/>
              </c:strCache>
            </c:strRef>
          </c:cat>
          <c:val>
            <c:numRef>
              <c:f>'Brand_Report'!$E$4:$E$7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Negative</c:v>
          </c:tx>
          <c:cat>
            <c:strRef>
              <c:f>'Brand_Report'!$A$4:$A$7</c:f>
              <c:strCache>
                <c:ptCount val="0"/>
              </c:strCache>
            </c:strRef>
          </c:cat>
          <c:val>
            <c:numRef>
              <c:f>'Brand_Report'!$F$4:$F$7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Complaint</c:v>
          </c:tx>
          <c:cat>
            <c:strRef>
              <c:f>'Brand_Report'!$A$4:$A$7</c:f>
              <c:strCache>
                <c:ptCount val="0"/>
              </c:strCache>
            </c:strRef>
          </c:cat>
          <c:val>
            <c:numRef>
              <c:f>'Brand_Report'!$G$4:$G$7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Platform sentiment breakdown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'Brand_Report'!$A$15:$A$17</c:f>
              <c:strCache>
                <c:ptCount val="0"/>
              </c:strCache>
            </c:strRef>
          </c:cat>
          <c:val>
            <c:numRef>
              <c:f>'Brand_Report'!$B$15:$B$17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Positive</c:v>
          </c:tx>
          <c:cat>
            <c:strRef>
              <c:f>'Brand_Report'!$A$15:$A$17</c:f>
              <c:strCache>
                <c:ptCount val="0"/>
              </c:strCache>
            </c:strRef>
          </c:cat>
          <c:val>
            <c:numRef>
              <c:f>'Brand_Report'!$C$15:$C$17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Question</c:v>
          </c:tx>
          <c:cat>
            <c:strRef>
              <c:f>'Brand_Report'!$A$15:$A$17</c:f>
              <c:strCache>
                <c:ptCount val="0"/>
              </c:strCache>
            </c:strRef>
          </c:cat>
          <c:val>
            <c:numRef>
              <c:f>'Brand_Report'!$D$15:$D$17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Neutral</c:v>
          </c:tx>
          <c:cat>
            <c:strRef>
              <c:f>'Brand_Report'!$A$15:$A$17</c:f>
              <c:strCache>
                <c:ptCount val="0"/>
              </c:strCache>
            </c:strRef>
          </c:cat>
          <c:val>
            <c:numRef>
              <c:f>'Brand_Report'!$E$15:$E$17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Negative</c:v>
          </c:tx>
          <c:cat>
            <c:strRef>
              <c:f>'Brand_Report'!$A$15:$A$17</c:f>
              <c:strCache>
                <c:ptCount val="0"/>
              </c:strCache>
            </c:strRef>
          </c:cat>
          <c:val>
            <c:numRef>
              <c:f>'Brand_Report'!$F$15:$F$17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Complaint</c:v>
          </c:tx>
          <c:cat>
            <c:strRef>
              <c:f>'Brand_Report'!$A$15:$A$17</c:f>
              <c:strCache>
                <c:ptCount val="0"/>
              </c:strCache>
            </c:strRef>
          </c:cat>
          <c:val>
            <c:numRef>
              <c:f>'Brand_Report'!$G$15:$G$17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Sentiment mix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'Sentiment_Report'!$A$4:$A$8</c:f>
              <c:strCache>
                <c:ptCount val="0"/>
              </c:strCache>
            </c:strRef>
          </c:cat>
          <c:val>
            <c:numRef>
              <c:f>'Sentiment_Report'!$B$4:$B$8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negative / complaint ads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Brand</c:v>
          </c:tx>
          <c:cat>
            <c:strRef>
              <c:f>'Sentiment_Report'!$H$4:$H$18</c:f>
              <c:strCache>
                <c:ptCount val="0"/>
              </c:strCache>
            </c:strRef>
          </c:cat>
          <c:val>
            <c:numRef>
              <c:f>'Sentiment_Report'!$I$4:$I$18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Campaign</c:v>
          </c:tx>
          <c:cat>
            <c:strRef>
              <c:f>'Sentiment_Report'!$H$4:$H$18</c:f>
              <c:strCache>
                <c:ptCount val="0"/>
              </c:strCache>
            </c:strRef>
          </c:cat>
          <c:val>
            <c:numRef>
              <c:f>'Sentiment_Report'!$J$4:$J$18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Total</c:v>
          </c:tx>
          <c:cat>
            <c:strRef>
              <c:f>'Sentiment_Report'!$H$4:$H$18</c:f>
              <c:strCache>
                <c:ptCount val="0"/>
              </c:strCache>
            </c:strRef>
          </c:cat>
          <c:val>
            <c:numRef>
              <c:f>'Sentiment_Report'!$K$4:$K$18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Negative</c:v>
          </c:tx>
          <c:cat>
            <c:strRef>
              <c:f>'Sentiment_Report'!$H$4:$H$18</c:f>
              <c:strCache>
                <c:ptCount val="0"/>
              </c:strCache>
            </c:strRef>
          </c:cat>
          <c:val>
            <c:numRef>
              <c:f>'Sentiment_Report'!$L$4:$L$18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Complaint</c:v>
          </c:tx>
          <c:cat>
            <c:strRef>
              <c:f>'Sentiment_Report'!$H$4:$H$18</c:f>
              <c:strCache>
                <c:ptCount val="0"/>
              </c:strCache>
            </c:strRef>
          </c:cat>
          <c:val>
            <c:numRef>
              <c:f>'Sentiment_Report'!$M$4:$M$18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ads: comments vs negative / complaint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6a454da974632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30acbdbf2d4fe5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9d6ddeeb734e1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3b98feae4d4f65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3e84521f3b48f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052a16e9c94957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02f45823384b0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55</xdr:row>
      <xdr:rowOff>0</xdr:rowOff>
    </xdr:from>
    <xdr:to>
      <xdr:col>8</xdr:col>
      <xdr:colOff>0</xdr:colOff>
      <xdr:row>74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d91117640649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SummaryTable" displayName="DailySummaryTable" ref="A1:G50" headerRowCount="1">
  <x:tableColumns count="7">
    <x:tableColumn id="1" name="Segment"/>
    <x:tableColumn id="2" name="Total"/>
    <x:tableColumn id="3" name="Positive"/>
    <x:tableColumn id="4" name="Question"/>
    <x:tableColumn id="5" name="Neutral"/>
    <x:tableColumn id="6" name="Negative"/>
    <x:tableColumn id="7" name="Complaint"/>
  </x:tableColumns>
  <x:tableStyleInfo name="TableStyleMedium2" showRowStripes="1"/>
</x:table>
</file>

<file path=xl/tables/table2.xml><?xml version="1.0" encoding="utf-8"?>
<x:table xmlns:x="http://schemas.openxmlformats.org/spreadsheetml/2006/main" id="2" name="AdSentimentTable" displayName="AdSentimentTable" ref="A1:J500" headerRowCount="1">
  <x:tableColumns count="10">
    <x:tableColumn id="1" name="Ad Name"/>
    <x:tableColumn id="2" name="Campaign"/>
    <x:tableColumn id="3" name="Brand"/>
    <x:tableColumn id="4" name="Source"/>
    <x:tableColumn id="5" name="Total"/>
    <x:tableColumn id="6" name="Positive"/>
    <x:tableColumn id="7" name="Question"/>
    <x:tableColumn id="8" name="Neutral"/>
    <x:tableColumn id="9" name="Negative"/>
    <x:tableColumn id="10" name="Complaint"/>
  </x:tableColumns>
  <x:tableStyleInfo name="TableStyleMedium2" showRowStripes="1"/>
</x:table>
</file>

<file path=xl/tables/table3.xml><?xml version="1.0" encoding="utf-8"?>
<x:table xmlns:x="http://schemas.openxmlformats.org/spreadsheetml/2006/main" id="3" name="CommentsTable" displayName="CommentsTable" ref="A1:Q1000" headerRowCount="1">
  <x:tableColumns count="17">
    <x:tableColumn id="1" name="Comment_ID"/>
    <x:tableColumn id="2" name="Comment_Date"/>
    <x:tableColumn id="3" name="Comment_Time"/>
    <x:tableColumn id="4" name="Brand"/>
    <x:tableColumn id="5" name="Platform"/>
    <x:tableColumn id="6" name="Source"/>
    <x:tableColumn id="7" name="Ad_Name"/>
    <x:tableColumn id="8" name="Campaign"/>
    <x:tableColumn id="9" name="Comment_Text"/>
    <x:tableColumn id="10" name="Sentiment"/>
    <x:tableColumn id="11" name="Status"/>
    <x:tableColumn id="12" name="Priority"/>
    <x:tableColumn id="13" name="Moderator"/>
    <x:tableColumn id="14" name="SLA_Minutes"/>
    <x:tableColumn id="15" name="Is_Today"/>
    <x:tableColumn id="16" name="Is_High_Spend"/>
    <x:tableColumn id="1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dsPerformanceTable" displayName="AdsPerformanceTable" ref="A1:S1000" headerRowCount="1">
  <x:tableColumns count="19">
    <x:tableColumn id="1" name="Date"/>
    <x:tableColumn id="2" name="Brand"/>
    <x:tableColumn id="3" name="Platform"/>
    <x:tableColumn id="4" name="Source"/>
    <x:tableColumn id="5" name="Ad_Name"/>
    <x:tableColumn id="6" name="Campaign"/>
    <x:tableColumn id="7" name="Spend"/>
    <x:tableColumn id="8" name="Impressions"/>
    <x:tableColumn id="9" name="Reach"/>
    <x:tableColumn id="10" name="CTR"/>
    <x:tableColumn id="11" name="CPC"/>
    <x:tableColumn id="12" name="CPM"/>
    <x:tableColumn id="13" name="ROAS"/>
    <x:tableColumn id="14" name="Comments"/>
    <x:tableColumn id="15" name="Negative"/>
    <x:tableColumn id="16" name="Complaint"/>
    <x:tableColumn id="17" name="Priority"/>
    <x:tableColumn id="18" name="Ad_URL"/>
    <x:tableColumn id="19" name="Thumbnail_URL"/>
  </x:tableColumns>
  <x:tableStyleInfo name="TableStyleMedium2" showRowStripes="1"/>
</x:table>
</file>

<file path=xl/tables/table5.xml><?xml version="1.0" encoding="utf-8"?>
<x:table xmlns:x="http://schemas.openxmlformats.org/spreadsheetml/2006/main" id="5" name="HighSpendReportTable" displayName="HighSpendReportTable" ref="A3:O103" headerRowCount="1">
  <x:tableColumns count="15">
    <x:tableColumn id="1" name="Rank"/>
    <x:tableColumn id="2" name="Ad Name"/>
    <x:tableColumn id="3" name="Campaign"/>
    <x:tableColumn id="4" name="Brand"/>
    <x:tableColumn id="5" name="Source"/>
    <x:tableColumn id="6" name="Spend"/>
    <x:tableColumn id="7" name="ROAS"/>
    <x:tableColumn id="8" name="CTR"/>
    <x:tableColumn id="9" name="Total Comments"/>
    <x:tableColumn id="10" name="Positive"/>
    <x:tableColumn id="11" name="Question"/>
    <x:tableColumn id="12" name="Neutral"/>
    <x:tableColumn id="13" name="Negative"/>
    <x:tableColumn id="14" name="Complaint"/>
    <x:tableColumn id="15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UIChangeSpecTable" displayName="UIChangeSpecTable" ref="A3:G50" headerRowCount="1">
  <x:tableColumns count="7">
    <x:tableColumn id="1" name="Screen / Area"/>
    <x:tableColumn id="2" name="Change Required"/>
    <x:tableColumn id="3" name="Reason"/>
    <x:tableColumn id="4" name="Priority"/>
    <x:tableColumn id="5" name="Owner"/>
    <x:tableColumn id="6" name="Status"/>
    <x:tableColumn id="7" name="Acceptance Criteria"/>
  </x:tableColumns>
  <x:tableStyleInfo name="TableStyleMedium2" showRowStripes="1"/>
</x:table>
</file>

<file path=xl/tables/table7.xml><?xml version="1.0" encoding="utf-8"?>
<x:table xmlns:x="http://schemas.openxmlformats.org/spreadsheetml/2006/main" id="7" name="DataDictionaryTable" displayName="DataDictionaryTable" ref="A3:F200" headerRowCount="1">
  <x:tableColumns count="6">
    <x:tableColumn id="1" name="Tab"/>
    <x:tableColumn id="2" name="Field"/>
    <x:tableColumn id="3" name="Required"/>
    <x:tableColumn id="4" name="Example"/>
    <x:tableColumn id="5" name="Purpos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a05370dd3241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aaa769e9c042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e0d8d7ed0b45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fb151c05394c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d0fc22959ec46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f84985e1e8814c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a20dc5454a904f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7fd2900a47e64777" /><Relationship Type="http://schemas.openxmlformats.org/officeDocument/2006/relationships/table" Target="/xl/tables/table5.xml" Id="Rdbf7f2a857414a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6dbf55c17b6746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6ac077e802784dc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Meta Dashboard XLSX Template - NOBL / FLO Sentiment &amp; Ads Report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Purpose</x:v>
      </x:c>
      <x:c r="B3" s="15" t="str">
        <x:v>Use this workbook as a structured template for dashboard exports. Paste daily dashboard data into the input tabs; the report tabs and charts summarize by brand, platform, source, sentiment, ad, and filter counts.</x:v>
      </x:c>
      <x:c r="C3" s="15" t="str"/>
      <x:c r="D3" s="15" t="str"/>
      <x:c r="E3" s="15" t="str"/>
      <x:c r="F3" s="15" t="str"/>
      <x:c r="G3" s="15" t="str"/>
      <x:c r="H3" s="15" t="str"/>
    </x:row>
    <x:row r="4">
      <x:c r="A4" s="14" t="str">
        <x:v>Main input tabs</x:v>
      </x:c>
      <x:c r="B4" s="15" t="str">
        <x:v>1) Daily_Summary_Input  2) Ad_Sentiment_Input  3) Comments_Input  4) Ads_Performance_Input</x:v>
      </x:c>
      <x:c r="C4" s="15" t="str"/>
      <x:c r="D4" s="15" t="str"/>
      <x:c r="E4" s="15" t="str"/>
      <x:c r="F4" s="15" t="str"/>
      <x:c r="G4" s="15" t="str"/>
      <x:c r="H4" s="15" t="str"/>
    </x:row>
    <x:row r="5">
      <x:c r="A5" s="14" t="str">
        <x:v>Brand logic</x:v>
      </x:c>
      <x:c r="B5" s="15" t="str">
        <x:v>Brand values should be exactly: Nobl, Flo, Unattributed.</x:v>
      </x:c>
      <x:c r="C5" s="15" t="str"/>
      <x:c r="D5" s="15" t="str"/>
      <x:c r="E5" s="15" t="str"/>
      <x:c r="F5" s="15" t="str"/>
      <x:c r="G5" s="15" t="str"/>
      <x:c r="H5" s="15" t="str"/>
    </x:row>
    <x:row r="6">
      <x:c r="A6" s="14" t="str">
        <x:v>Sentiment logic</x:v>
      </x:c>
      <x:c r="B6" s="15" t="str">
        <x:v>Positive, Question, Neutral, Negative, Complaint. Complaint is treated as urgent negative.</x:v>
      </x:c>
      <x:c r="C6" s="15" t="str"/>
      <x:c r="D6" s="15" t="str"/>
      <x:c r="E6" s="15" t="str"/>
      <x:c r="F6" s="15" t="str"/>
      <x:c r="G6" s="15" t="str"/>
      <x:c r="H6" s="15" t="str"/>
    </x:row>
    <x:row r="7">
      <x:c r="A7" s="14" t="str">
        <x:v>Today only comments</x:v>
      </x:c>
      <x:c r="B7" s="15" t="str">
        <x:v>Comments_Input has Comment_Date. Home dashboard should filter to today using that field.</x:v>
      </x:c>
      <x:c r="C7" s="15" t="str"/>
      <x:c r="D7" s="15" t="str"/>
      <x:c r="E7" s="15" t="str"/>
      <x:c r="F7" s="15" t="str"/>
      <x:c r="G7" s="15" t="str"/>
      <x:c r="H7" s="15" t="str"/>
    </x:row>
    <x:row r="8">
      <x:c r="A8" s="14" t="str">
        <x:v>Counts QA</x:v>
      </x:c>
      <x:c r="B8" s="15" t="str">
        <x:v>Use Filter_Count_QA to compare dashboard UI counts vs expected report counts.</x:v>
      </x:c>
      <x:c r="C8" s="15" t="str"/>
      <x:c r="D8" s="15" t="str"/>
      <x:c r="E8" s="15" t="str"/>
      <x:c r="F8" s="15" t="str"/>
      <x:c r="G8" s="15" t="str"/>
      <x:c r="H8" s="15" t="str"/>
    </x:row>
    <x:row r="9">
      <x:c r="A9" s="14" t="str">
        <x:v>Assign comment removal</x:v>
      </x:c>
      <x:c r="B9" s="15" t="str">
        <x:v>UI_Change_Spec lists every place where Assign Comment should be removed.</x:v>
      </x:c>
      <x:c r="C9" s="15" t="str"/>
      <x:c r="D9" s="15" t="str"/>
      <x:c r="E9" s="15" t="str"/>
      <x:c r="F9" s="15" t="str"/>
      <x:c r="G9" s="15" t="str"/>
      <x:c r="H9" s="15" t="str"/>
    </x:row>
    <x:row r="10">
      <x:c r="A10" s="14" t="str">
        <x:v>Current sample period</x:v>
      </x:c>
      <x:c r="B10" s="15" t="str">
        <x:v>Jul 8, 2026</x:v>
      </x:c>
      <x:c r="C10" s="15" t="str">
        <x:v>Timezone</x:v>
      </x:c>
      <x:c r="D10" s="15" t="str">
        <x:v>US Eastern (America/New_York)</x:v>
      </x:c>
      <x:c r="E10" s="15" t="str">
        <x:v>Generated UTC</x:v>
      </x:c>
      <x:c r="F10" s="15" t="n">
        <x:v>46211.838068923615</x:v>
      </x:c>
      <x:c r="G10" s="15" t="str"/>
      <x:c r="H10" s="15" t="str"/>
    </x:row>
    <x:row r="11">
      <x:c r="A11" s="14" t="str">
        <x:v>Data refresh</x:v>
      </x:c>
      <x:c r="B11" s="15" t="str">
        <x:v>Paste new daily export into inputs. Keep headers unchanged.</x:v>
      </x:c>
      <x:c r="C11" s="15" t="str"/>
      <x:c r="D11" s="15" t="str"/>
      <x:c r="E11" s="15" t="str"/>
      <x:c r="F11" s="15" t="str"/>
      <x:c r="G11" s="15" t="str"/>
      <x:c r="H11" s="15" t="str"/>
    </x:row>
    <x:row r="12">
      <x:c r="A12" s="14" t="str">
        <x:v>Created for</x:v>
      </x:c>
      <x:c r="B12" s="15" t="str">
        <x:v>Muhammad Awais - Meta Dashboard / Marketing Automation</x:v>
      </x:c>
      <x:c r="C12" s="15" t="str"/>
      <x:c r="D12" s="15" t="str"/>
      <x:c r="E12" s="15" t="str"/>
      <x:c r="F12" s="15" t="str"/>
      <x:c r="G12" s="15" t="str"/>
      <x:c r="H12" s="15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22" t="str">
        <x:v>Segment</x:v>
      </x:c>
      <x:c r="B1" s="28" t="str">
        <x:v>Total</x:v>
      </x:c>
      <x:c r="C1" s="28" t="str">
        <x:v>Positive</x:v>
      </x:c>
      <x:c r="D1" s="28" t="str">
        <x:v>Question</x:v>
      </x:c>
      <x:c r="E1" s="28" t="str">
        <x:v>Neutral</x:v>
      </x:c>
      <x:c r="F1" s="28" t="str">
        <x:v>Negative</x:v>
      </x:c>
      <x:c r="G1" s="28" t="str">
        <x:v>Complaint</x:v>
      </x:c>
    </x:row>
    <x:row r="2">
      <x:c r="A2" t="str">
        <x:v>Overall</x:v>
      </x:c>
      <x:c r="B2" t="n">
        <x:v>815</x:v>
      </x:c>
      <x:c r="C2" t="n">
        <x:v>255</x:v>
      </x:c>
      <x:c r="D2" t="n">
        <x:v>82</x:v>
      </x:c>
      <x:c r="E2" t="n">
        <x:v>423</x:v>
      </x:c>
      <x:c r="F2" t="n">
        <x:v>43</x:v>
      </x:c>
      <x:c r="G2" t="n">
        <x:v>12</x:v>
      </x:c>
    </x:row>
    <x:row r="3">
      <x:c r="A3" t="str">
        <x:v>Brand: Nobl</x:v>
      </x:c>
      <x:c r="B3" t="n">
        <x:v>274</x:v>
      </x:c>
      <x:c r="C3" t="n">
        <x:v>80</x:v>
      </x:c>
      <x:c r="D3" t="n">
        <x:v>71</x:v>
      </x:c>
      <x:c r="E3" t="n">
        <x:v>76</x:v>
      </x:c>
      <x:c r="F3" t="n">
        <x:v>36</x:v>
      </x:c>
      <x:c r="G3" t="n">
        <x:v>11</x:v>
      </x:c>
    </x:row>
    <x:row r="4">
      <x:c r="A4" t="str">
        <x:v>Brand: Flo</x:v>
      </x:c>
      <x:c r="B4" t="n">
        <x:v>9</x:v>
      </x:c>
      <x:c r="C4" t="n">
        <x:v>2</x:v>
      </x:c>
      <x:c r="D4" t="n">
        <x:v>3</x:v>
      </x:c>
      <x:c r="E4" t="n">
        <x:v>3</x:v>
      </x:c>
      <x:c r="F4" t="n">
        <x:v>0</x:v>
      </x:c>
      <x:c r="G4" t="n">
        <x:v>1</x:v>
      </x:c>
    </x:row>
    <x:row r="5">
      <x:c r="A5" t="str">
        <x:v>Brand: Unattributed</x:v>
      </x:c>
      <x:c r="B5" t="n">
        <x:v>532</x:v>
      </x:c>
      <x:c r="C5" t="n">
        <x:v>173</x:v>
      </x:c>
      <x:c r="D5" t="n">
        <x:v>8</x:v>
      </x:c>
      <x:c r="E5" t="n">
        <x:v>344</x:v>
      </x:c>
      <x:c r="F5" t="n">
        <x:v>7</x:v>
      </x:c>
      <x:c r="G5" t="n">
        <x:v>0</x:v>
      </x:c>
    </x:row>
    <x:row r="6">
      <x:c r="A6" t="str">
        <x:v>Source: Brand page</x:v>
      </x:c>
      <x:c r="B6" t="n">
        <x:v>263</x:v>
      </x:c>
      <x:c r="C6" t="n">
        <x:v>78</x:v>
      </x:c>
      <x:c r="D6" t="n">
        <x:v>67</x:v>
      </x:c>
      <x:c r="E6" t="n">
        <x:v>74</x:v>
      </x:c>
      <x:c r="F6" t="n">
        <x:v>33</x:v>
      </x:c>
      <x:c r="G6" t="n">
        <x:v>11</x:v>
      </x:c>
    </x:row>
    <x:row r="7">
      <x:c r="A7" t="str">
        <x:v>Source: Creator / Whitelist</x:v>
      </x:c>
      <x:c r="B7" t="n">
        <x:v>547</x:v>
      </x:c>
      <x:c r="C7" t="n">
        <x:v>174</x:v>
      </x:c>
      <x:c r="D7" t="n">
        <x:v>14</x:v>
      </x:c>
      <x:c r="E7" t="n">
        <x:v>349</x:v>
      </x:c>
      <x:c r="F7" t="n">
        <x:v>9</x:v>
      </x:c>
      <x:c r="G7" t="n">
        <x:v>1</x:v>
      </x:c>
    </x:row>
    <x:row r="8">
      <x:c r="A8" t="str">
        <x:v>Source: Organic</x:v>
      </x:c>
      <x:c r="B8" t="n">
        <x:v>5</x:v>
      </x:c>
      <x:c r="C8" t="n">
        <x:v>3</x:v>
      </x:c>
      <x:c r="D8" t="n">
        <x:v>1</x:v>
      </x:c>
      <x:c r="E8" t="n">
        <x:v>0</x:v>
      </x:c>
      <x:c r="F8" t="n">
        <x:v>1</x:v>
      </x:c>
      <x:c r="G8" t="n">
        <x:v>0</x:v>
      </x:c>
    </x:row>
    <x:row r="9">
      <x:c r="A9" t="str">
        <x:v>Platform: Facebook</x:v>
      </x:c>
      <x:c r="B9" t="n">
        <x:v>213</x:v>
      </x:c>
      <x:c r="C9" t="n">
        <x:v>53</x:v>
      </x:c>
      <x:c r="D9" t="n">
        <x:v>60</x:v>
      </x:c>
      <x:c r="E9" t="n">
        <x:v>65</x:v>
      </x:c>
      <x:c r="F9" t="n">
        <x:v>28</x:v>
      </x:c>
      <x:c r="G9" t="n">
        <x:v>7</x:v>
      </x:c>
    </x:row>
    <x:row r="10">
      <x:c r="A10" t="str">
        <x:v>Platform: Instagram</x:v>
      </x:c>
      <x:c r="B10" t="n">
        <x:v>602</x:v>
      </x:c>
      <x:c r="C10" t="n">
        <x:v>202</x:v>
      </x:c>
      <x:c r="D10" t="n">
        <x:v>22</x:v>
      </x:c>
      <x:c r="E10" t="n">
        <x:v>358</x:v>
      </x:c>
      <x:c r="F10" t="n">
        <x:v>15</x:v>
      </x:c>
      <x:c r="G10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7a05370dd3241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4" hidden="0" customWidth="1"/>
    <x:col min="3" max="3" width="16" hidden="0" customWidth="1"/>
    <x:col min="4" max="4" width="2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4" customHeight="1">
      <x:c r="A1" s="22" t="str">
        <x:v>Ad Name</x:v>
      </x:c>
      <x:c r="B1" s="22" t="str">
        <x:v>Campaign</x:v>
      </x:c>
      <x:c r="C1" s="22" t="str">
        <x:v>Brand</x:v>
      </x:c>
      <x:c r="D1" s="22" t="str">
        <x:v>Source</x:v>
      </x:c>
      <x:c r="E1" s="28" t="str">
        <x:v>Total</x:v>
      </x:c>
      <x:c r="F1" s="28" t="str">
        <x:v>Positive</x:v>
      </x:c>
      <x:c r="G1" s="28" t="str">
        <x:v>Question</x:v>
      </x:c>
      <x:c r="H1" s="28" t="str">
        <x:v>Neutral</x:v>
      </x:c>
      <x:c r="I1" s="28" t="str">
        <x:v>Negative</x:v>
      </x:c>
      <x:c r="J1" s="28" t="str">
        <x:v>Complaint</x:v>
      </x:c>
    </x:row>
    <x:row r="2">
      <x:c r="A2" t="str">
        <x:v>Organic · @angelenees.ugc</x:v>
      </x:c>
      <x:c r="B2" t="str">
        <x:v>Organic</x:v>
      </x:c>
      <x:c r="C2" t="str">
        <x:v>Unattributed</x:v>
      </x:c>
      <x:c r="D2" t="str">
        <x:v>Creator / Whitelist</x:v>
      </x:c>
      <x:c r="E2" t="n">
        <x:v>121</x:v>
      </x:c>
      <x:c r="F2" t="n">
        <x:v>10</x:v>
      </x:c>
      <x:c r="G2" t="n">
        <x:v>2</x:v>
      </x:c>
      <x:c r="H2" t="n">
        <x:v>109</x:v>
      </x:c>
      <x:c r="I2" t="n">
        <x:v>0</x:v>
      </x:c>
      <x:c r="J2" t="n">
        <x:v>0</x:v>
      </x:c>
    </x:row>
    <x:row r="3">
      <x:c r="A3" t="str">
        <x:v>Organic · @angelenees.ugc</x:v>
      </x:c>
      <x:c r="B3" t="str">
        <x:v>Organic</x:v>
      </x:c>
      <x:c r="C3" t="str">
        <x:v>Unattributed</x:v>
      </x:c>
      <x:c r="D3" t="str">
        <x:v>Creator / Whitelist</x:v>
      </x:c>
      <x:c r="E3" t="n">
        <x:v>68</x:v>
      </x:c>
      <x:c r="F3" t="n">
        <x:v>1</x:v>
      </x:c>
      <x:c r="G3" t="n">
        <x:v>0</x:v>
      </x:c>
      <x:c r="H3" t="n">
        <x:v>67</x:v>
      </x:c>
      <x:c r="I3" t="n">
        <x:v>0</x:v>
      </x:c>
      <x:c r="J3" t="n">
        <x:v>0</x:v>
      </x:c>
    </x:row>
    <x:row r="4">
      <x:c r="A4" t="str">
        <x:v>Organic · @angelenees.ugc</x:v>
      </x:c>
      <x:c r="B4" t="str">
        <x:v>Organic</x:v>
      </x:c>
      <x:c r="C4" t="str">
        <x:v>Unattributed</x:v>
      </x:c>
      <x:c r="D4" t="str">
        <x:v>Creator / Whitelist</x:v>
      </x:c>
      <x:c r="E4" t="n">
        <x:v>55</x:v>
      </x:c>
      <x:c r="F4" t="n">
        <x:v>3</x:v>
      </x:c>
      <x:c r="G4" t="n">
        <x:v>1</x:v>
      </x:c>
      <x:c r="H4" t="n">
        <x:v>50</x:v>
      </x:c>
      <x:c r="I4" t="n">
        <x:v>1</x:v>
      </x:c>
      <x:c r="J4" t="n">
        <x:v>0</x:v>
      </x:c>
    </x:row>
    <x:row r="5">
      <x:c r="A5" t="str">
        <x:v>060826_J-0419v1_MyExHusbandsGirlfriend_TOF_Vid_000AIO_Evergreen_LP001_001NYS_002FA_003UGC_005J2_007MNT_008MNT_009B_010B_011M8S37_013F4B_014USA_015AAT</x:v>
      </x:c>
      <x:c r="B5" t="str">
        <x:v>usa - tof - all</x:v>
      </x:c>
      <x:c r="C5" t="str">
        <x:v>Nobl</x:v>
      </x:c>
      <x:c r="D5" t="str">
        <x:v>Brand page</x:v>
      </x:c>
      <x:c r="E5" t="n">
        <x:v>46</x:v>
      </x:c>
      <x:c r="F5" t="n">
        <x:v>22</x:v>
      </x:c>
      <x:c r="G5" t="n">
        <x:v>8</x:v>
      </x:c>
      <x:c r="H5" t="n">
        <x:v>10</x:v>
      </x:c>
      <x:c r="I5" t="n">
        <x:v>6</x:v>
      </x:c>
      <x:c r="J5" t="n">
        <x:v>0</x:v>
      </x:c>
    </x:row>
    <x:row r="6">
      <x:c r="A6" t="str">
        <x:v>Organic · @angelenees.ugc</x:v>
      </x:c>
      <x:c r="B6" t="str">
        <x:v>Organic</x:v>
      </x:c>
      <x:c r="C6" t="str">
        <x:v>Unattributed</x:v>
      </x:c>
      <x:c r="D6" t="str">
        <x:v>Creator / Whitelist</x:v>
      </x:c>
      <x:c r="E6" t="n">
        <x:v>35</x:v>
      </x:c>
      <x:c r="F6" t="n">
        <x:v>0</x:v>
      </x:c>
      <x:c r="G6" t="n">
        <x:v>0</x:v>
      </x:c>
      <x:c r="H6" t="n">
        <x:v>35</x:v>
      </x:c>
      <x:c r="I6" t="n">
        <x:v>0</x:v>
      </x:c>
      <x:c r="J6" t="n">
        <x:v>0</x:v>
      </x:c>
    </x:row>
    <x:row r="7">
      <x:c r="A7" t="str">
        <x:v>Organic · @mauro.littera</x:v>
      </x:c>
      <x:c r="B7" t="str">
        <x:v>Organic</x:v>
      </x:c>
      <x:c r="C7" t="str">
        <x:v>Unattributed</x:v>
      </x:c>
      <x:c r="D7" t="str">
        <x:v>Creator / Whitelist</x:v>
      </x:c>
      <x:c r="E7" t="n">
        <x:v>33</x:v>
      </x:c>
      <x:c r="F7" t="n">
        <x:v>31</x:v>
      </x:c>
      <x:c r="G7" t="n">
        <x:v>0</x:v>
      </x:c>
      <x:c r="H7" t="n">
        <x:v>2</x:v>
      </x:c>
      <x:c r="I7" t="n">
        <x:v>0</x:v>
      </x:c>
      <x:c r="J7" t="n">
        <x:v>0</x:v>
      </x:c>
    </x:row>
    <x:row r="8">
      <x:c r="A8" t="str">
        <x:v>Organic · @angelenees.ugc</x:v>
      </x:c>
      <x:c r="B8" t="str">
        <x:v>Organic</x:v>
      </x:c>
      <x:c r="C8" t="str">
        <x:v>Unattributed</x:v>
      </x:c>
      <x:c r="D8" t="str">
        <x:v>Creator / Whitelist</x:v>
      </x:c>
      <x:c r="E8" t="n">
        <x:v>30</x:v>
      </x:c>
      <x:c r="F8" t="n">
        <x:v>2</x:v>
      </x:c>
      <x:c r="G8" t="n">
        <x:v>0</x:v>
      </x:c>
      <x:c r="H8" t="n">
        <x:v>28</x:v>
      </x:c>
      <x:c r="I8" t="n">
        <x:v>0</x:v>
      </x:c>
      <x:c r="J8" t="n">
        <x:v>0</x:v>
      </x:c>
    </x:row>
    <x:row r="9">
      <x:c r="A9" t="str">
        <x:v>Organic · @chaltner</x:v>
      </x:c>
      <x:c r="B9" t="str">
        <x:v>Organic</x:v>
      </x:c>
      <x:c r="C9" t="str">
        <x:v>Unattributed</x:v>
      </x:c>
      <x:c r="D9" t="str">
        <x:v>Creator / Whitelist</x:v>
      </x:c>
      <x:c r="E9" t="n">
        <x:v>30</x:v>
      </x:c>
      <x:c r="F9" t="n">
        <x:v>30</x:v>
      </x:c>
      <x:c r="G9" t="n">
        <x:v>0</x:v>
      </x:c>
      <x:c r="H9" t="n">
        <x:v>0</x:v>
      </x:c>
      <x:c r="I9" t="n">
        <x:v>0</x:v>
      </x:c>
      <x:c r="J9" t="n">
        <x:v>0</x:v>
      </x:c>
    </x:row>
    <x:row r="10">
      <x:c r="A10" t="str">
        <x:v>Organic · @sarahlauren_71</x:v>
      </x:c>
      <x:c r="B10" t="str">
        <x:v>Organic</x:v>
      </x:c>
      <x:c r="C10" t="str">
        <x:v>Unattributed</x:v>
      </x:c>
      <x:c r="D10" t="str">
        <x:v>Creator / Whitelist</x:v>
      </x:c>
      <x:c r="E10" t="n">
        <x:v>22</x:v>
      </x:c>
      <x:c r="F10" t="n">
        <x:v>9</x:v>
      </x:c>
      <x:c r="G10" t="n">
        <x:v>2</x:v>
      </x:c>
      <x:c r="H10" t="n">
        <x:v>7</x:v>
      </x:c>
      <x:c r="I10" t="n">
        <x:v>4</x:v>
      </x:c>
      <x:c r="J10" t="n">
        <x:v>0</x:v>
      </x:c>
    </x:row>
    <x:row r="11">
      <x:c r="A11" t="str">
        <x:v>Organic · @ugcbytengy</x:v>
      </x:c>
      <x:c r="B11" t="str">
        <x:v>Organic</x:v>
      </x:c>
      <x:c r="C11" t="str">
        <x:v>Unattributed</x:v>
      </x:c>
      <x:c r="D11" t="str">
        <x:v>Creator / Whitelist</x:v>
      </x:c>
      <x:c r="E11" t="n">
        <x:v>20</x:v>
      </x:c>
      <x:c r="F11" t="n">
        <x:v>19</x:v>
      </x:c>
      <x:c r="G11" t="n">
        <x:v>0</x:v>
      </x:c>
      <x:c r="H11" t="n">
        <x:v>1</x:v>
      </x:c>
      <x:c r="I11" t="n">
        <x:v>0</x:v>
      </x:c>
      <x:c r="J11" t="n">
        <x:v>0</x:v>
      </x:c>
    </x:row>
    <x:row r="12">
      <x:c r="A12" t="str">
        <x:v>Organic · @chaltner</x:v>
      </x:c>
      <x:c r="B12" t="str">
        <x:v>Organic</x:v>
      </x:c>
      <x:c r="C12" t="str">
        <x:v>Unattributed</x:v>
      </x:c>
      <x:c r="D12" t="str">
        <x:v>Creator / Whitelist</x:v>
      </x:c>
      <x:c r="E12" t="n">
        <x:v>19</x:v>
      </x:c>
      <x:c r="F12" t="n">
        <x:v>16</x:v>
      </x:c>
      <x:c r="G12" t="n">
        <x:v>0</x:v>
      </x:c>
      <x:c r="H12" t="n">
        <x:v>3</x:v>
      </x:c>
      <x:c r="I12" t="n">
        <x:v>0</x:v>
      </x:c>
      <x:c r="J12" t="n">
        <x:v>0</x:v>
      </x:c>
    </x:row>
    <x:row r="13">
      <x:c r="A13" t="str">
        <x:v>Organic · @ellenhellkvist</x:v>
      </x:c>
      <x:c r="B13" t="str">
        <x:v>Organic</x:v>
      </x:c>
      <x:c r="C13" t="str">
        <x:v>Unattributed</x:v>
      </x:c>
      <x:c r="D13" t="str">
        <x:v>Creator / Whitelist</x:v>
      </x:c>
      <x:c r="E13" t="n">
        <x:v>15</x:v>
      </x:c>
      <x:c r="F13" t="n">
        <x:v>14</x:v>
      </x:c>
      <x:c r="G13" t="n">
        <x:v>1</x:v>
      </x:c>
      <x:c r="H13" t="n">
        <x:v>0</x:v>
      </x:c>
      <x:c r="I13" t="n">
        <x:v>0</x:v>
      </x:c>
      <x:c r="J13" t="n">
        <x:v>0</x:v>
      </x:c>
    </x:row>
    <x:row r="14">
      <x:c r="A14" t="str">
        <x:v>Organic · @angelenees.ugc</x:v>
      </x:c>
      <x:c r="B14" t="str">
        <x:v>Organic</x:v>
      </x:c>
      <x:c r="C14" t="str">
        <x:v>Unattributed</x:v>
      </x:c>
      <x:c r="D14" t="str">
        <x:v>Creator / Whitelist</x:v>
      </x:c>
      <x:c r="E14" t="n">
        <x:v>12</x:v>
      </x:c>
      <x:c r="F14" t="n">
        <x:v>4</x:v>
      </x:c>
      <x:c r="G14" t="n">
        <x:v>1</x:v>
      </x:c>
      <x:c r="H14" t="n">
        <x:v>7</x:v>
      </x:c>
      <x:c r="I14" t="n">
        <x:v>0</x:v>
      </x:c>
      <x:c r="J14" t="n">
        <x:v>0</x:v>
      </x:c>
    </x:row>
    <x:row r="15">
      <x:c r="A15" t="str">
        <x:v>Organic · @mauro.littera</x:v>
      </x:c>
      <x:c r="B15" t="str">
        <x:v>Organic</x:v>
      </x:c>
      <x:c r="C15" t="str">
        <x:v>Unattributed</x:v>
      </x:c>
      <x:c r="D15" t="str">
        <x:v>Creator / Whitelist</x:v>
      </x:c>
      <x:c r="E15" t="n">
        <x:v>12</x:v>
      </x:c>
      <x:c r="F15" t="n">
        <x:v>12</x:v>
      </x:c>
      <x:c r="G15" t="n">
        <x:v>0</x:v>
      </x:c>
      <x:c r="H15" t="n">
        <x:v>0</x:v>
      </x:c>
      <x:c r="I15" t="n">
        <x:v>0</x:v>
      </x:c>
      <x:c r="J15" t="n">
        <x:v>0</x:v>
      </x:c>
    </x:row>
    <x:row r="16">
      <x:c r="A16" t="str">
        <x:v>060126_J0382v3_TSAOpeners_TOF_Vid_BJ0284v1_000AIO_Evergreen_LP001_001NYS_002LK_003NGC_005F5_007SIL_008BYL_009E_010A_011M0S51_013F2W_014USA_015AAA</x:v>
      </x:c>
      <x:c r="B16" t="str">
        <x:v>usa - tof - all</x:v>
      </x:c>
      <x:c r="C16" t="str">
        <x:v>Nobl</x:v>
      </x:c>
      <x:c r="D16" t="str">
        <x:v>Brand page</x:v>
      </x:c>
      <x:c r="E16" t="n">
        <x:v>10</x:v>
      </x:c>
      <x:c r="F16" t="n">
        <x:v>4</x:v>
      </x:c>
      <x:c r="G16" t="n">
        <x:v>2</x:v>
      </x:c>
      <x:c r="H16" t="n">
        <x:v>1</x:v>
      </x:c>
      <x:c r="I16" t="n">
        <x:v>2</x:v>
      </x:c>
      <x:c r="J16" t="n">
        <x:v>1</x:v>
      </x:c>
    </x:row>
    <x:row r="17">
      <x:c r="A17" t="str">
        <x:v>010526_CanWeTalkArcadsBlackFemaleTOF1_v1_AIO_Evergreen - 001NYS - 002TC - 000AIO - 003010526_CanWeTalkArcadsBlackFemaleTOF1_v1_AIO_Evergreen - 004SIL - 005US - 006Stressedtraveler - 007DEMO - 00860s - 009FAI - 010V1 - 011YAWO - 012ENG - 013AAH</x:v>
      </x:c>
      <x:c r="B17" t="str">
        <x:v>[n] usa - tof - all</x:v>
      </x:c>
      <x:c r="C17" t="str">
        <x:v>Nobl</x:v>
      </x:c>
      <x:c r="D17" t="str">
        <x:v>Brand page</x:v>
      </x:c>
      <x:c r="E17" t="n">
        <x:v>10</x:v>
      </x:c>
      <x:c r="F17" t="n">
        <x:v>3</x:v>
      </x:c>
      <x:c r="G17" t="n">
        <x:v>4</x:v>
      </x:c>
      <x:c r="H17" t="n">
        <x:v>2</x:v>
      </x:c>
      <x:c r="I17" t="n">
        <x:v>1</x:v>
      </x:c>
      <x:c r="J17" t="n">
        <x:v>0</x:v>
      </x:c>
    </x:row>
    <x:row r="18">
      <x:c r="A18" t="str">
        <x:v>Organic · @angelenees.ugc</x:v>
      </x:c>
      <x:c r="B18" t="str">
        <x:v>Organic</x:v>
      </x:c>
      <x:c r="C18" t="str">
        <x:v>Unattributed</x:v>
      </x:c>
      <x:c r="D18" t="str">
        <x:v>Creator / Whitelist</x:v>
      </x:c>
      <x:c r="E18" t="n">
        <x:v>8</x:v>
      </x:c>
      <x:c r="F18" t="n">
        <x:v>0</x:v>
      </x:c>
      <x:c r="G18" t="n">
        <x:v>0</x:v>
      </x:c>
      <x:c r="H18" t="n">
        <x:v>8</x:v>
      </x:c>
      <x:c r="I18" t="n">
        <x:v>0</x:v>
      </x:c>
      <x:c r="J18" t="n">
        <x:v>0</x:v>
      </x:c>
    </x:row>
    <x:row r="19">
      <x:c r="A19" t="str">
        <x:v>122225_CanWeTalkTOF1_v1_AIO_Evergreen - 001NYS - 002FA - 000AIO - 003122225_CanWeTalkTOF1_v1_AIO_Evergreen - 004MULTI - 005US - 006⁠FunctionalTraveler - 007COMP - 00860s - 009MULTI - 010V1 - 011MULTI - 012ENG</x:v>
      </x:c>
      <x:c r="B19" t="str">
        <x:v>uk - tof - all</x:v>
      </x:c>
      <x:c r="C19" t="str">
        <x:v>Nobl</x:v>
      </x:c>
      <x:c r="D19" t="str">
        <x:v>Brand page</x:v>
      </x:c>
      <x:c r="E19" t="n">
        <x:v>7</x:v>
      </x:c>
      <x:c r="F19" t="n">
        <x:v>2</x:v>
      </x:c>
      <x:c r="G19" t="n">
        <x:v>3</x:v>
      </x:c>
      <x:c r="H19" t="n">
        <x:v>1</x:v>
      </x:c>
      <x:c r="I19" t="n">
        <x:v>0</x:v>
      </x:c>
      <x:c r="J19" t="n">
        <x:v>1</x:v>
      </x:c>
    </x:row>
    <x:row r="20">
      <x:c r="A20" t="str">
        <x:v>062226_J0490v4_JessDalesTestimonial_Vid_000AIO_Evergreen_LP001_001NYS_002LK_003UGC_005A5_006SP005_007IVY_008IVY_009A_010A_011M0S59_013F2W_014USA_015AAA</x:v>
      </x:c>
      <x:c r="B20" t="str">
        <x:v>uk - tof - all</x:v>
      </x:c>
      <x:c r="C20" t="str">
        <x:v>Nobl</x:v>
      </x:c>
      <x:c r="D20" t="str">
        <x:v>Brand page</x:v>
      </x:c>
      <x:c r="E20" t="n">
        <x:v>6</x:v>
      </x:c>
      <x:c r="F20" t="n">
        <x:v>3</x:v>
      </x:c>
      <x:c r="G20" t="n">
        <x:v>1</x:v>
      </x:c>
      <x:c r="H20" t="n">
        <x:v>1</x:v>
      </x:c>
      <x:c r="I20" t="n">
        <x:v>1</x:v>
      </x:c>
      <x:c r="J20" t="n">
        <x:v>0</x:v>
      </x:c>
    </x:row>
    <x:row r="21">
      <x:c r="A21" t="str">
        <x:v>Organic · @angelenees.ugc</x:v>
      </x:c>
      <x:c r="B21" t="str">
        <x:v>Organic</x:v>
      </x:c>
      <x:c r="C21" t="str">
        <x:v>Unattributed</x:v>
      </x:c>
      <x:c r="D21" t="str">
        <x:v>Creator / Whitelist</x:v>
      </x:c>
      <x:c r="E21" t="n">
        <x:v>6</x:v>
      </x:c>
      <x:c r="F21" t="n">
        <x:v>1</x:v>
      </x:c>
      <x:c r="G21" t="n">
        <x:v>0</x:v>
      </x:c>
      <x:c r="H21" t="n">
        <x:v>5</x:v>
      </x:c>
      <x:c r="I21" t="n">
        <x:v>0</x:v>
      </x:c>
      <x:c r="J21" t="n">
        <x:v>0</x:v>
      </x:c>
    </x:row>
    <x:row r="22">
      <x:c r="A22" t="str">
        <x:v>050426_J-0226v2_WhenDidCarryOnsVanessaVanmus_TOF_Vid_000AIO_Evergreen_LP001_001NYS_002FA_003NGC_005D1_006SP005_007BYL_008BYL_009A_010A_011M1S11_013F1W_014USA_015AAA</x:v>
      </x:c>
      <x:c r="B22" t="str">
        <x:v>usa - tof - all</x:v>
      </x:c>
      <x:c r="C22" t="str">
        <x:v>Nobl</x:v>
      </x:c>
      <x:c r="D22" t="str">
        <x:v>Brand page</x:v>
      </x:c>
      <x:c r="E22" t="n">
        <x:v>5</x:v>
      </x:c>
      <x:c r="F22" t="n">
        <x:v>2</x:v>
      </x:c>
      <x:c r="G22" t="n">
        <x:v>1</x:v>
      </x:c>
      <x:c r="H22" t="n">
        <x:v>2</x:v>
      </x:c>
      <x:c r="I22" t="n">
        <x:v>0</x:v>
      </x:c>
      <x:c r="J22" t="n">
        <x:v>0</x:v>
      </x:c>
    </x:row>
    <x:row r="23">
      <x:c r="A23" t="str">
        <x:v>050426_J-0226v2_WhenDidCarryOnsVanessaVanmus_TOF_Vid_000AIO_Evergreen_LP001_001NYS_002FA_003NGC_005D1_006SP005_007BYL_008BYL_009A_010A_011M1S11_013F1W_014USA_015AAA</x:v>
      </x:c>
      <x:c r="B23" t="str">
        <x:v>[n] usa - tof - all</x:v>
      </x:c>
      <x:c r="C23" t="str">
        <x:v>Nobl</x:v>
      </x:c>
      <x:c r="D23" t="str">
        <x:v>Brand page</x:v>
      </x:c>
      <x:c r="E23" t="n">
        <x:v>5</x:v>
      </x:c>
      <x:c r="F23" t="n">
        <x:v>1</x:v>
      </x:c>
      <x:c r="G23" t="n">
        <x:v>2</x:v>
      </x:c>
      <x:c r="H23" t="n">
        <x:v>2</x:v>
      </x:c>
      <x:c r="I23" t="n">
        <x:v>0</x:v>
      </x:c>
      <x:c r="J23" t="n">
        <x:v>0</x:v>
      </x:c>
    </x:row>
    <x:row r="24">
      <x:c r="A24" t="str">
        <x:v>Organic · @ellenhellkvist</x:v>
      </x:c>
      <x:c r="B24" t="str">
        <x:v>Organic</x:v>
      </x:c>
      <x:c r="C24" t="str">
        <x:v>Unattributed</x:v>
      </x:c>
      <x:c r="D24" t="str">
        <x:v>Creator / Whitelist</x:v>
      </x:c>
      <x:c r="E24" t="n">
        <x:v>5</x:v>
      </x:c>
      <x:c r="F24" t="n">
        <x:v>3</x:v>
      </x:c>
      <x:c r="G24" t="n">
        <x:v>0</x:v>
      </x:c>
      <x:c r="H24" t="n">
        <x:v>2</x:v>
      </x:c>
      <x:c r="I24" t="n">
        <x:v>0</x:v>
      </x:c>
      <x:c r="J24" t="n">
        <x:v>0</x:v>
      </x:c>
    </x:row>
    <x:row r="25">
      <x:c r="A25" t="str">
        <x:v>010526_CanWeTalkArcadsBlackFemaleTOF1_v1_AIO_Evergreen - 001NYS - 002TC - 000AIO - 003010526_CanWeTalkArcadsBlackFemaleTOF1_v1_AIO_Evergreen - 004SIL - 005US - 006Stressedtraveler - 007DEMO - 00860s - 009FAI - 010V1 - 011YAWO - 012ENG - 013AAH</x:v>
      </x:c>
      <x:c r="B25" t="str">
        <x:v>usa - tof - all</x:v>
      </x:c>
      <x:c r="C25" t="str">
        <x:v>Nobl</x:v>
      </x:c>
      <x:c r="D25" t="str">
        <x:v>Brand page</x:v>
      </x:c>
      <x:c r="E25" t="n">
        <x:v>4</x:v>
      </x:c>
      <x:c r="F25" t="n">
        <x:v>2</x:v>
      </x:c>
      <x:c r="G25" t="n">
        <x:v>0</x:v>
      </x:c>
      <x:c r="H25" t="n">
        <x:v>1</x:v>
      </x:c>
      <x:c r="I25" t="n">
        <x:v>1</x:v>
      </x:c>
      <x:c r="J25" t="n">
        <x:v>0</x:v>
      </x:c>
    </x:row>
    <x:row r="26">
      <x:c r="A26" t="str">
        <x:v>050426_J-0226v2_WhenDidCarryOnsVanessaVanmus_TOF_Vid_000AIO_Evergreen_LP001_001NYS_002FA_003NGC_005D1_006SP005_007BYL_008BYL_009A_010A_011M1S11_013F1W_014USA_015AAA</x:v>
      </x:c>
      <x:c r="B26" t="str">
        <x:v>usa - tof/mof - all</x:v>
      </x:c>
      <x:c r="C26" t="str">
        <x:v>Nobl</x:v>
      </x:c>
      <x:c r="D26" t="str">
        <x:v>Brand page</x:v>
      </x:c>
      <x:c r="E26" t="n">
        <x:v>4</x:v>
      </x:c>
      <x:c r="F26" t="n">
        <x:v>0</x:v>
      </x:c>
      <x:c r="G26" t="n">
        <x:v>2</x:v>
      </x:c>
      <x:c r="H26" t="n">
        <x:v>2</x:v>
      </x:c>
      <x:c r="I26" t="n">
        <x:v>0</x:v>
      </x:c>
      <x:c r="J26" t="n">
        <x:v>0</x:v>
      </x:c>
    </x:row>
    <x:row r="27">
      <x:c r="A27" t="str">
        <x:v>040626_NotGatekeepingTOF1_V1_AIR_Evergreen - 001NYS - 002LK - 000AIR - 004MULTI - 005US - 006ValueDriven - 007DEMO - 00860s - 009MULTI - 010V3 - 011MULTI - 012ENG - 013AAU</x:v>
      </x:c>
      <x:c r="B27" t="str">
        <x:v>usa - tof/bof - air</x:v>
      </x:c>
      <x:c r="C27" t="str">
        <x:v>Nobl</x:v>
      </x:c>
      <x:c r="D27" t="str">
        <x:v>Brand page</x:v>
      </x:c>
      <x:c r="E27" t="n">
        <x:v>4</x:v>
      </x:c>
      <x:c r="F27" t="n">
        <x:v>1</x:v>
      </x:c>
      <x:c r="G27" t="n">
        <x:v>0</x:v>
      </x:c>
      <x:c r="H27" t="n">
        <x:v>0</x:v>
      </x:c>
      <x:c r="I27" t="n">
        <x:v>3</x:v>
      </x:c>
      <x:c r="J27" t="n">
        <x:v>0</x:v>
      </x:c>
    </x:row>
    <x:row r="28">
      <x:c r="A28" t="str">
        <x:v>041326_InfluencerR1KylaCentomoTOF1_v1_AIO_Evergreen_WL - 001NYS - 002TC - 000AIO - 004YLW - 005US - 006ReadyToBuy - 007DEMO - 00850s - 009FRE - 010V6 - 011YAWO - 012ENG - 013AAT</x:v>
      </x:c>
      <x:c r="B28" t="str">
        <x:v>test - video/static - wl</x:v>
      </x:c>
      <x:c r="C28" t="str">
        <x:v>Nobl</x:v>
      </x:c>
      <x:c r="D28" t="str">
        <x:v>Creator / Whitelist</x:v>
      </x:c>
      <x:c r="E28" t="n">
        <x:v>4</x:v>
      </x:c>
      <x:c r="F28" t="n">
        <x:v>0</x:v>
      </x:c>
      <x:c r="G28" t="n">
        <x:v>2</x:v>
      </x:c>
      <x:c r="H28" t="n">
        <x:v>1</x:v>
      </x:c>
      <x:c r="I28" t="n">
        <x:v>1</x:v>
      </x:c>
      <x:c r="J28" t="n">
        <x:v>0</x:v>
      </x:c>
    </x:row>
    <x:row r="29">
      <x:c r="A29" t="str">
        <x:v>062226_J0512v6_FreeAIOJuly4thSale_Vid_B56v1_000EBUN_July4thSale_LP003_001NYS_002TC_003UGC_005D2_006PR003_007CRD_008MULTI_009A_010A_013F1W_014USA_015ATA</x:v>
      </x:c>
      <x:c r="B29" t="str">
        <x:v>usa -  asc+ promo</x:v>
      </x:c>
      <x:c r="C29" t="str">
        <x:v>Nobl</x:v>
      </x:c>
      <x:c r="D29" t="str">
        <x:v>Brand page</x:v>
      </x:c>
      <x:c r="E29" t="n">
        <x:v>4</x:v>
      </x:c>
      <x:c r="F29" t="n">
        <x:v>1</x:v>
      </x:c>
      <x:c r="G29" t="n">
        <x:v>2</x:v>
      </x:c>
      <x:c r="H29" t="n">
        <x:v>1</x:v>
      </x:c>
      <x:c r="I29" t="n">
        <x:v>0</x:v>
      </x:c>
      <x:c r="J29" t="n">
        <x:v>0</x:v>
      </x:c>
    </x:row>
    <x:row r="30">
      <x:c r="A30" t="str">
        <x:v>000AIO - 001NYS - 002PEN - 003TSABluePen - 004WHT - 005SE - 006STT - 007VO - 008TOF - 009V1 - 01045s - 011FAI - 012YWO - 013USA - 014CL - 0150424</x:v>
      </x:c>
      <x:c r="B30" t="str">
        <x:v>[n] usa - tof - all</x:v>
      </x:c>
      <x:c r="C30" t="str">
        <x:v>Nobl</x:v>
      </x:c>
      <x:c r="D30" t="str">
        <x:v>Brand page</x:v>
      </x:c>
      <x:c r="E30" t="n">
        <x:v>4</x:v>
      </x:c>
      <x:c r="F30" t="n">
        <x:v>0</x:v>
      </x:c>
      <x:c r="G30" t="n">
        <x:v>2</x:v>
      </x:c>
      <x:c r="H30" t="n">
        <x:v>1</x:v>
      </x:c>
      <x:c r="I30" t="n">
        <x:v>1</x:v>
      </x:c>
      <x:c r="J30" t="n">
        <x:v>0</x:v>
      </x:c>
    </x:row>
    <x:row r="31">
      <x:c r="A31" t="str">
        <x:v>Organic · @christinakatelobo</x:v>
      </x:c>
      <x:c r="B31" t="str">
        <x:v>Organic</x:v>
      </x:c>
      <x:c r="C31" t="str">
        <x:v>Unattributed</x:v>
      </x:c>
      <x:c r="D31" t="str">
        <x:v>Creator / Whitelist</x:v>
      </x:c>
      <x:c r="E31" t="n">
        <x:v>4</x:v>
      </x:c>
      <x:c r="F31" t="n">
        <x:v>4</x:v>
      </x:c>
      <x:c r="G31" t="n">
        <x:v>0</x:v>
      </x:c>
      <x:c r="H31" t="n">
        <x:v>0</x:v>
      </x:c>
      <x:c r="I31" t="n">
        <x:v>0</x:v>
      </x:c>
      <x:c r="J31" t="n">
        <x:v>0</x:v>
      </x:c>
    </x:row>
    <x:row r="32">
      <x:c r="A32" t="str">
        <x:v>Organic · @angelenees.ugc</x:v>
      </x:c>
      <x:c r="B32" t="str">
        <x:v>Organic</x:v>
      </x:c>
      <x:c r="C32" t="str">
        <x:v>Unattributed</x:v>
      </x:c>
      <x:c r="D32" t="str">
        <x:v>Creator / Whitelist</x:v>
      </x:c>
      <x:c r="E32" t="n">
        <x:v>4</x:v>
      </x:c>
      <x:c r="F32" t="n">
        <x:v>0</x:v>
      </x:c>
      <x:c r="G32" t="n">
        <x:v>0</x:v>
      </x:c>
      <x:c r="H32" t="n">
        <x:v>4</x:v>
      </x:c>
      <x:c r="I32" t="n">
        <x:v>0</x:v>
      </x:c>
      <x:c r="J32" t="n">
        <x:v>0</x:v>
      </x:c>
    </x:row>
    <x:row r="33">
      <x:c r="A33" t="str">
        <x:v>102725_LastCarryOnTOF_v1_AIO_Evergreen - 001NYS - 002FA - 003102725_LastCarryOnTOF_v1_AIO_Evergreen - 004MULTI - 005US - 006SavvyTraveler - 007DEMO - 00840s - 009MAI - 010V3 - 011AMA - 012ENG</x:v>
      </x:c>
      <x:c r="B33" t="str">
        <x:v>uk - tof - all</x:v>
      </x:c>
      <x:c r="C33" t="str">
        <x:v>Nobl</x:v>
      </x:c>
      <x:c r="D33" t="str">
        <x:v>Brand page</x:v>
      </x:c>
      <x:c r="E33" t="n">
        <x:v>4</x:v>
      </x:c>
      <x:c r="F33" t="n">
        <x:v>1</x:v>
      </x:c>
      <x:c r="G33" t="n">
        <x:v>1</x:v>
      </x:c>
      <x:c r="H33" t="n">
        <x:v>1</x:v>
      </x:c>
      <x:c r="I33" t="n">
        <x:v>0</x:v>
      </x:c>
      <x:c r="J33" t="n">
        <x:v>1</x:v>
      </x:c>
    </x:row>
    <x:row r="34">
      <x:c r="A34" t="str">
        <x:v>051826_J0300v6_CanadaLocalized_TOF_Vid_B143v1_000AIO_Evergreen_LP001_001NYS_002TC_003NGC_005L2_007CRD_008BYL_009B_010B_011M0S48_013MULTI_014CAN_015ABF</x:v>
      </x:c>
      <x:c r="B34" t="str">
        <x:v>can - tof - all</x:v>
      </x:c>
      <x:c r="C34" t="str">
        <x:v>Nobl</x:v>
      </x:c>
      <x:c r="D34" t="str">
        <x:v>Brand page</x:v>
      </x:c>
      <x:c r="E34" t="n">
        <x:v>4</x:v>
      </x:c>
      <x:c r="F34" t="n">
        <x:v>0</x:v>
      </x:c>
      <x:c r="G34" t="n">
        <x:v>3</x:v>
      </x:c>
      <x:c r="H34" t="n">
        <x:v>0</x:v>
      </x:c>
      <x:c r="I34" t="n">
        <x:v>1</x:v>
      </x:c>
      <x:c r="J34" t="n">
        <x:v>0</x:v>
      </x:c>
    </x:row>
    <x:row r="35">
      <x:c r="A35" t="str">
        <x:v>Organic · @kellyprincewright</x:v>
      </x:c>
      <x:c r="B35" t="str">
        <x:v>Organic</x:v>
      </x:c>
      <x:c r="C35" t="str">
        <x:v>Unattributed</x:v>
      </x:c>
      <x:c r="D35" t="str">
        <x:v>Creator / Whitelist</x:v>
      </x:c>
      <x:c r="E35" t="n">
        <x:v>4</x:v>
      </x:c>
      <x:c r="F35" t="n">
        <x:v>2</x:v>
      </x:c>
      <x:c r="G35" t="n">
        <x:v>0</x:v>
      </x:c>
      <x:c r="H35" t="n">
        <x:v>2</x:v>
      </x:c>
      <x:c r="I35" t="n">
        <x:v>0</x:v>
      </x:c>
      <x:c r="J35" t="n">
        <x:v>0</x:v>
      </x:c>
    </x:row>
    <x:row r="36">
      <x:c r="A36" t="str">
        <x:v>040626_NotGatekeepingTOF1_V1_AIR_Evergreen - 001NYS - 002LK - 000AIR - 004MULTI - 005US - 006ValueDriven - 007DEMO - 00860s - 009MULTI - 010V2 - 011MULTI - 012ENG - 013AAU</x:v>
      </x:c>
      <x:c r="B36" t="str">
        <x:v>usa - tof/bof - air</x:v>
      </x:c>
      <x:c r="C36" t="str">
        <x:v>Nobl</x:v>
      </x:c>
      <x:c r="D36" t="str">
        <x:v>Brand page</x:v>
      </x:c>
      <x:c r="E36" t="n">
        <x:v>3</x:v>
      </x:c>
      <x:c r="F36" t="n">
        <x:v>1</x:v>
      </x:c>
      <x:c r="G36" t="n">
        <x:v>0</x:v>
      </x:c>
      <x:c r="H36" t="n">
        <x:v>1</x:v>
      </x:c>
      <x:c r="I36" t="n">
        <x:v>1</x:v>
      </x:c>
      <x:c r="J36" t="n">
        <x:v>0</x:v>
      </x:c>
    </x:row>
    <x:row r="37">
      <x:c r="A37" t="str">
        <x:v>060126_J0382v3_TSAOpeners_TOF_Vid_BJ0284v1_000AIO_Evergreen_LP001_001NYS_002LK_003NGC_005F5_007SIL_008BYL_009E_010A_011M0S51_013F2W_014USA_015AAA</x:v>
      </x:c>
      <x:c r="B37" t="str">
        <x:v>[n] usa - tof - all</x:v>
      </x:c>
      <x:c r="C37" t="str">
        <x:v>Nobl</x:v>
      </x:c>
      <x:c r="D37" t="str">
        <x:v>Brand page</x:v>
      </x:c>
      <x:c r="E37" t="n">
        <x:v>3</x:v>
      </x:c>
      <x:c r="F37" t="n">
        <x:v>0</x:v>
      </x:c>
      <x:c r="G37" t="n">
        <x:v>1</x:v>
      </x:c>
      <x:c r="H37" t="n">
        <x:v>1</x:v>
      </x:c>
      <x:c r="I37" t="n">
        <x:v>1</x:v>
      </x:c>
      <x:c r="J37" t="n">
        <x:v>0</x:v>
      </x:c>
    </x:row>
    <x:row r="38">
      <x:c r="A38" t="str">
        <x:v>040626_itstheaioJasminShannonTOF1_V1_AIO_Evergreen - 040626_itstheaioJasminShannonTOF1_V1_AIO_Evergreen - 001NYS - 002TC - 000AIO - 004PK - 005US - 006SavvyTraveler - 007DEMO - 00830s - 009FRE - 010V1 - 011YAWO - 012ENG - 013AAT</x:v>
      </x:c>
      <x:c r="B38" t="str">
        <x:v>blackcrow - usa - tof - all</x:v>
      </x:c>
      <x:c r="C38" t="str">
        <x:v>Nobl</x:v>
      </x:c>
      <x:c r="D38" t="str">
        <x:v>Brand page</x:v>
      </x:c>
      <x:c r="E38" t="n">
        <x:v>3</x:v>
      </x:c>
      <x:c r="F38" t="n">
        <x:v>0</x:v>
      </x:c>
      <x:c r="G38" t="n">
        <x:v>0</x:v>
      </x:c>
      <x:c r="H38" t="n">
        <x:v>2</x:v>
      </x:c>
      <x:c r="I38" t="n">
        <x:v>0</x:v>
      </x:c>
      <x:c r="J38" t="n">
        <x:v>1</x:v>
      </x:c>
    </x:row>
    <x:row r="39">
      <x:c r="A39" t="str">
        <x:v>061526_JJ-0480v4_5MistakesRedo_Vid_000AIO_Evergreen_LP001_001NYS_002FA_003NGC_005K1_007NA_008IBL_009C_010C_011M1S28_013M2W_014USA_015AAT</x:v>
      </x:c>
      <x:c r="B39" t="str">
        <x:v>test - video - all</x:v>
      </x:c>
      <x:c r="C39" t="str">
        <x:v>Nobl</x:v>
      </x:c>
      <x:c r="D39" t="str">
        <x:v>Brand page</x:v>
      </x:c>
      <x:c r="E39" t="n">
        <x:v>3</x:v>
      </x:c>
      <x:c r="F39" t="n">
        <x:v>0</x:v>
      </x:c>
      <x:c r="G39" t="n">
        <x:v>2</x:v>
      </x:c>
      <x:c r="H39" t="n">
        <x:v>1</x:v>
      </x:c>
      <x:c r="I39" t="n">
        <x:v>0</x:v>
      </x:c>
      <x:c r="J39" t="n">
        <x:v>0</x:v>
      </x:c>
    </x:row>
    <x:row r="40">
      <x:c r="A40" t="str">
        <x:v>Organic · @angelenees.ugc</x:v>
      </x:c>
      <x:c r="B40" t="str">
        <x:v>Organic</x:v>
      </x:c>
      <x:c r="C40" t="str">
        <x:v>Unattributed</x:v>
      </x:c>
      <x:c r="D40" t="str">
        <x:v>Creator / Whitelist</x:v>
      </x:c>
      <x:c r="E40" t="n">
        <x:v>3</x:v>
      </x:c>
      <x:c r="F40" t="n">
        <x:v>0</x:v>
      </x:c>
      <x:c r="G40" t="n">
        <x:v>0</x:v>
      </x:c>
      <x:c r="H40" t="n">
        <x:v>3</x:v>
      </x:c>
      <x:c r="I40" t="n">
        <x:v>0</x:v>
      </x:c>
      <x:c r="J40" t="n">
        <x:v>0</x:v>
      </x:c>
    </x:row>
    <x:row r="41">
      <x:c r="A41" t="str">
        <x:v>111025_StoppedDoingTOF1_v1_AIO_Evergreen - 001NYS - 002FA - 000AIO - 003111025_StoppedDoingTOF1_v1_AIO_Evergreen - 004MULTI - 005US - 006SavvyTraveler - 007DEMO - 00860s - 009MULTI - 010V2 - 011MULTI - 012ENG</x:v>
      </x:c>
      <x:c r="B41" t="str">
        <x:v>uk - tof - all</x:v>
      </x:c>
      <x:c r="C41" t="str">
        <x:v>Nobl</x:v>
      </x:c>
      <x:c r="D41" t="str">
        <x:v>Brand page</x:v>
      </x:c>
      <x:c r="E41" t="n">
        <x:v>3</x:v>
      </x:c>
      <x:c r="F41" t="n">
        <x:v>2</x:v>
      </x:c>
      <x:c r="G41" t="n">
        <x:v>0</x:v>
      </x:c>
      <x:c r="H41" t="n">
        <x:v>1</x:v>
      </x:c>
      <x:c r="I41" t="n">
        <x:v>0</x:v>
      </x:c>
      <x:c r="J41" t="n">
        <x:v>0</x:v>
      </x:c>
    </x:row>
    <x:row r="42">
      <x:c r="A42" t="str">
        <x:v>Organic · @chaltner</x:v>
      </x:c>
      <x:c r="B42" t="str">
        <x:v>Organic</x:v>
      </x:c>
      <x:c r="C42" t="str">
        <x:v>Unattributed</x:v>
      </x:c>
      <x:c r="D42" t="str">
        <x:v>Creator / Whitelist</x:v>
      </x:c>
      <x:c r="E42" t="n">
        <x:v>3</x:v>
      </x:c>
      <x:c r="F42" t="n">
        <x:v>3</x:v>
      </x:c>
      <x:c r="G42" t="n">
        <x:v>0</x:v>
      </x:c>
      <x:c r="H42" t="n">
        <x:v>0</x:v>
      </x:c>
      <x:c r="I42" t="n">
        <x:v>0</x:v>
      </x:c>
      <x:c r="J42" t="n">
        <x:v>0</x:v>
      </x:c>
    </x:row>
    <x:row r="43">
      <x:c r="A43" t="str">
        <x:v>122225_WhenDidCarry-onsTOF1_v1_AIO_Evergreen - 001NYS - 002FA - 000AIO - 003122225_WhenDidCarry-onsTOF1_v1_AIO_Evergreen - 004MULTI - 005US - 006MaleTravelerRegularDad - 007DEMO - 00860s - 009MAI - 010V3 - 011AMA - 012ENG</x:v>
      </x:c>
      <x:c r="B43" t="str">
        <x:v>uk - tof - all</x:v>
      </x:c>
      <x:c r="C43" t="str">
        <x:v>Nobl</x:v>
      </x:c>
      <x:c r="D43" t="str">
        <x:v>Brand page</x:v>
      </x:c>
      <x:c r="E43" t="n">
        <x:v>3</x:v>
      </x:c>
      <x:c r="F43" t="n">
        <x:v>1</x:v>
      </x:c>
      <x:c r="G43" t="n">
        <x:v>0</x:v>
      </x:c>
      <x:c r="H43" t="n">
        <x:v>2</x:v>
      </x:c>
      <x:c r="I43" t="n">
        <x:v>0</x:v>
      </x:c>
      <x:c r="J43" t="n">
        <x:v>0</x:v>
      </x:c>
    </x:row>
    <x:row r="44">
      <x:c r="A44" t="str">
        <x:v>110305_RegretTOF1_v1_AIO_Evergreen - 001NYS - 002TC - 003110305_RegretTOF1_v1_AIO_Evergreen - 004BBL - 005US - 006SavvyTraveler - 007DEMO - 00830s - 009FAI - 010V4 - 011YAWO - 012ENG</x:v>
      </x:c>
      <x:c r="B44" t="str">
        <x:v>uk - tof - all</x:v>
      </x:c>
      <x:c r="C44" t="str">
        <x:v>Nobl</x:v>
      </x:c>
      <x:c r="D44" t="str">
        <x:v>Brand page</x:v>
      </x:c>
      <x:c r="E44" t="n">
        <x:v>3</x:v>
      </x:c>
      <x:c r="F44" t="n">
        <x:v>1</x:v>
      </x:c>
      <x:c r="G44" t="n">
        <x:v>1</x:v>
      </x:c>
      <x:c r="H44" t="n">
        <x:v>1</x:v>
      </x:c>
      <x:c r="I44" t="n">
        <x:v>0</x:v>
      </x:c>
      <x:c r="J44" t="n">
        <x:v>0</x:v>
      </x:c>
    </x:row>
    <x:row r="45">
      <x:c r="A45" t="str">
        <x:v>060826_J-0419v1_MyExHusbandsGirlfriend_TOF_Vid_000AIO_Evergreen_LP001_001NYS_002FA_003UGC_005J2_007MNT_008MNT_009B_010B_011M8S37_013F4B_014USA_015AAT</x:v>
      </x:c>
      <x:c r="B45" t="str">
        <x:v>uk - tof - all</x:v>
      </x:c>
      <x:c r="C45" t="str">
        <x:v>Nobl</x:v>
      </x:c>
      <x:c r="D45" t="str">
        <x:v>Brand page</x:v>
      </x:c>
      <x:c r="E45" t="n">
        <x:v>3</x:v>
      </x:c>
      <x:c r="F45" t="n">
        <x:v>2</x:v>
      </x:c>
      <x:c r="G45" t="n">
        <x:v>0</x:v>
      </x:c>
      <x:c r="H45" t="n">
        <x:v>0</x:v>
      </x:c>
      <x:c r="I45" t="n">
        <x:v>1</x:v>
      </x:c>
      <x:c r="J45" t="n">
        <x:v>0</x:v>
      </x:c>
    </x:row>
    <x:row r="46">
      <x:c r="A46" t="str">
        <x:v>120825_VacationLocation2TOF1_V1_AIO_Evergreen - 001NYS - 002TC - 000AIO - 003120825_VacationLocation2TOF1_V1_AIO_Evergreen - 004WHT - 005US - 006SavvyTraveler - 007MON - 00860s - 009FAI - 010V1 - 011YAWO - 012ENG</x:v>
      </x:c>
      <x:c r="B46" t="str">
        <x:v>uk - tof - all</x:v>
      </x:c>
      <x:c r="C46" t="str">
        <x:v>Nobl</x:v>
      </x:c>
      <x:c r="D46" t="str">
        <x:v>Brand page</x:v>
      </x:c>
      <x:c r="E46" t="n">
        <x:v>3</x:v>
      </x:c>
      <x:c r="F46" t="n">
        <x:v>2</x:v>
      </x:c>
      <x:c r="G46" t="n">
        <x:v>1</x:v>
      </x:c>
      <x:c r="H46" t="n">
        <x:v>0</x:v>
      </x:c>
      <x:c r="I46" t="n">
        <x:v>0</x:v>
      </x:c>
      <x:c r="J46" t="n">
        <x:v>0</x:v>
      </x:c>
    </x:row>
    <x:row r="47">
      <x:c r="A47" t="str">
        <x:v>Organic · @mauro.littera</x:v>
      </x:c>
      <x:c r="B47" t="str">
        <x:v>Organic</x:v>
      </x:c>
      <x:c r="C47" t="str">
        <x:v>Unattributed</x:v>
      </x:c>
      <x:c r="D47" t="str">
        <x:v>Creator / Whitelist</x:v>
      </x:c>
      <x:c r="E47" t="n">
        <x:v>3</x:v>
      </x:c>
      <x:c r="F47" t="n">
        <x:v>3</x:v>
      </x:c>
      <x:c r="G47" t="n">
        <x:v>0</x:v>
      </x:c>
      <x:c r="H47" t="n">
        <x:v>0</x:v>
      </x:c>
      <x:c r="I47" t="n">
        <x:v>0</x:v>
      </x:c>
      <x:c r="J47" t="n">
        <x:v>0</x:v>
      </x:c>
    </x:row>
    <x:row r="48">
      <x:c r="A48" t="str">
        <x:v>Organic · @angelenees.ugc</x:v>
      </x:c>
      <x:c r="B48" t="str">
        <x:v>Organic</x:v>
      </x:c>
      <x:c r="C48" t="str">
        <x:v>Unattributed</x:v>
      </x:c>
      <x:c r="D48" t="str">
        <x:v>Creator / Whitelist</x:v>
      </x:c>
      <x:c r="E48" t="n">
        <x:v>3</x:v>
      </x:c>
      <x:c r="F48" t="n">
        <x:v>0</x:v>
      </x:c>
      <x:c r="G48" t="n">
        <x:v>0</x:v>
      </x:c>
      <x:c r="H48" t="n">
        <x:v>3</x:v>
      </x:c>
      <x:c r="I48" t="n">
        <x:v>0</x:v>
      </x:c>
      <x:c r="J48" t="n">
        <x:v>0</x:v>
      </x:c>
    </x:row>
    <x:row r="49">
      <x:c r="A49" t="str">
        <x:v>Organic · @nobltravel</x:v>
      </x:c>
      <x:c r="B49" t="str">
        <x:v>Organic</x:v>
      </x:c>
      <x:c r="C49" t="str">
        <x:v>Nobl</x:v>
      </x:c>
      <x:c r="D49" t="str">
        <x:v>Organic</x:v>
      </x:c>
      <x:c r="E49" t="n">
        <x:v>2</x:v>
      </x:c>
      <x:c r="F49" t="n">
        <x:v>1</x:v>
      </x:c>
      <x:c r="G49" t="n">
        <x:v>0</x:v>
      </x:c>
      <x:c r="H49" t="n">
        <x:v>0</x:v>
      </x:c>
      <x:c r="I49" t="n">
        <x:v>1</x:v>
      </x:c>
      <x:c r="J49" t="n">
        <x:v>0</x:v>
      </x:c>
    </x:row>
    <x:row r="50">
      <x:c r="A50" t="str">
        <x:v>033026_EVIA_FloWSTOF1_v1_MAIN_Evergreen - 001EVI - 002EV - 000MAIN - 003033026_EVIA_FloWSTOF1_v1_MAIN_Evergreen - 004PK - 005VI - 006DrivenAthlete - 007TXT - 00815s - 009NVO - 010V4 - 011YAWO - 012ENG - 013</x:v>
      </x:c>
      <x:c r="B50" t="str">
        <x:v>asc - tof - all</x:v>
      </x:c>
      <x:c r="C50" t="str">
        <x:v>Flo</x:v>
      </x:c>
      <x:c r="D50" t="str">
        <x:v>Brand page</x:v>
      </x:c>
      <x:c r="E50" t="n">
        <x:v>2</x:v>
      </x:c>
      <x:c r="F50" t="n">
        <x:v>0</x:v>
      </x:c>
      <x:c r="G50" t="n">
        <x:v>1</x:v>
      </x:c>
      <x:c r="H50" t="n">
        <x:v>1</x:v>
      </x:c>
      <x:c r="I50" t="n">
        <x:v>0</x:v>
      </x:c>
      <x:c r="J50" t="n">
        <x:v>0</x:v>
      </x:c>
    </x:row>
    <x:row r="51">
      <x:c r="A51" t="str">
        <x:v>060826_J-0417v1_ForSevenYears_TOF_Vid_000AIO_Evergreen_LP001_001NYS_002FA_003NGC_005J2_007NA_008FGN_009A_010A_011M7S23_013F2B_014USA_015AAT</x:v>
      </x:c>
      <x:c r="B51" t="str">
        <x:v>test - video - all</x:v>
      </x:c>
      <x:c r="C51" t="str">
        <x:v>Nobl</x:v>
      </x:c>
      <x:c r="D51" t="str">
        <x:v>Brand page</x:v>
      </x:c>
      <x:c r="E51" t="n">
        <x:v>2</x:v>
      </x:c>
      <x:c r="F51" t="n">
        <x:v>1</x:v>
      </x:c>
      <x:c r="G51" t="n">
        <x:v>0</x:v>
      </x:c>
      <x:c r="H51" t="n">
        <x:v>0</x:v>
      </x:c>
      <x:c r="I51" t="n">
        <x:v>1</x:v>
      </x:c>
      <x:c r="J51" t="n">
        <x:v>0</x:v>
      </x:c>
    </x:row>
    <x:row r="52">
      <x:c r="A52" t="str">
        <x:v>060126_J-0373v2_IveHadSoCalled_TOF_Vid_000AIO_Evergreen_LP001_001NYS_002FA_003NGC_005D4_007NA_008MBL_009B_010B_011M0S48_013M2W_014USA_015AAT</x:v>
      </x:c>
      <x:c r="B52" t="str">
        <x:v>usa - tof - all</x:v>
      </x:c>
      <x:c r="C52" t="str">
        <x:v>Nobl</x:v>
      </x:c>
      <x:c r="D52" t="str">
        <x:v>Brand page</x:v>
      </x:c>
      <x:c r="E52" t="n">
        <x:v>2</x:v>
      </x:c>
      <x:c r="F52" t="n">
        <x:v>2</x:v>
      </x:c>
      <x:c r="G52" t="n">
        <x:v>0</x:v>
      </x:c>
      <x:c r="H52" t="n">
        <x:v>0</x:v>
      </x:c>
      <x:c r="I52" t="n">
        <x:v>0</x:v>
      </x:c>
      <x:c r="J52" t="n">
        <x:v>0</x:v>
      </x:c>
    </x:row>
    <x:row r="53">
      <x:c r="A53" t="str">
        <x:v>000AIO - 001NYS - 002PEN - 003TSAasianmale - 004MULTI - 005SE - 006STT - 007VO - 008TOF - 009V2 - 01045s - 011FAI - 012YWO - 013USA - 014CL - 0150424</x:v>
      </x:c>
      <x:c r="B53" t="str">
        <x:v>usa - tof - all</x:v>
      </x:c>
      <x:c r="C53" t="str">
        <x:v>Nobl</x:v>
      </x:c>
      <x:c r="D53" t="str">
        <x:v>Brand page</x:v>
      </x:c>
      <x:c r="E53" t="n">
        <x:v>2</x:v>
      </x:c>
      <x:c r="F53" t="n">
        <x:v>0</x:v>
      </x:c>
      <x:c r="G53" t="n">
        <x:v>0</x:v>
      </x:c>
      <x:c r="H53" t="n">
        <x:v>2</x:v>
      </x:c>
      <x:c r="I53" t="n">
        <x:v>0</x:v>
      </x:c>
      <x:c r="J53" t="n">
        <x:v>0</x:v>
      </x:c>
    </x:row>
    <x:row r="54">
      <x:c r="A54" t="str">
        <x:v>060826_J0431v2_InfluencerAndreaDiFilippoEvergreenBundleSale_TOF_Vid_B04021v1v1_000EBUN_Evergreen_WL_LP003_001NYS_002TC_003UGC_005D1_006PR002_007FGN_008FGN_009B_010B_011M0S14_013M2W_014USA</x:v>
      </x:c>
      <x:c r="B54" t="str">
        <x:v>usa -  asc+ promo</x:v>
      </x:c>
      <x:c r="C54" t="str">
        <x:v>Nobl</x:v>
      </x:c>
      <x:c r="D54" t="str">
        <x:v>Brand page</x:v>
      </x:c>
      <x:c r="E54" t="n">
        <x:v>2</x:v>
      </x:c>
      <x:c r="F54" t="n">
        <x:v>0</x:v>
      </x:c>
      <x:c r="G54" t="n">
        <x:v>0</x:v>
      </x:c>
      <x:c r="H54" t="n">
        <x:v>1</x:v>
      </x:c>
      <x:c r="I54" t="n">
        <x:v>0</x:v>
      </x:c>
      <x:c r="J54" t="n">
        <x:v>1</x:v>
      </x:c>
    </x:row>
    <x:row r="55">
      <x:c r="A55" t="str">
        <x:v>120125_I'veGotARuleTOF1_V1_AIO_Evergreen - 001NYS - 002LK - 000AIO - 003120125_I'veGotARuleTOF1_V1_AIO_Evergreen - 004SIL - 005US - 006_FunctionalTraveler - 007DEMO - 00840s - 009MAI - 010V2 - 011AMA - 012ENG</x:v>
      </x:c>
      <x:c r="B55" t="str">
        <x:v>[n] usa - tof - all</x:v>
      </x:c>
      <x:c r="C55" t="str">
        <x:v>Nobl</x:v>
      </x:c>
      <x:c r="D55" t="str">
        <x:v>Brand page</x:v>
      </x:c>
      <x:c r="E55" t="n">
        <x:v>2</x:v>
      </x:c>
      <x:c r="F55" t="n">
        <x:v>0</x:v>
      </x:c>
      <x:c r="G55" t="n">
        <x:v>1</x:v>
      </x:c>
      <x:c r="H55" t="n">
        <x:v>1</x:v>
      </x:c>
      <x:c r="I55" t="n">
        <x:v>0</x:v>
      </x:c>
      <x:c r="J55" t="n">
        <x:v>0</x:v>
      </x:c>
    </x:row>
    <x:row r="56">
      <x:c r="A56" t="str">
        <x:v>060826_J-0418v4_SkiTripStory_TOF_Vid_000AIO_Evergreen_LP001_001NYS_002FA_003UGC_005J1_007FGN_008FGN_009B_010B_011M7S38_013F4W_014USA_015AAT</x:v>
      </x:c>
      <x:c r="B56" t="str">
        <x:v>usa - tof - all</x:v>
      </x:c>
      <x:c r="C56" t="str">
        <x:v>Nobl</x:v>
      </x:c>
      <x:c r="D56" t="str">
        <x:v>Brand page</x:v>
      </x:c>
      <x:c r="E56" t="n">
        <x:v>2</x:v>
      </x:c>
      <x:c r="F56" t="n">
        <x:v>1</x:v>
      </x:c>
      <x:c r="G56" t="n">
        <x:v>0</x:v>
      </x:c>
      <x:c r="H56" t="n">
        <x:v>1</x:v>
      </x:c>
      <x:c r="I56" t="n">
        <x:v>0</x:v>
      </x:c>
      <x:c r="J56" t="n">
        <x:v>0</x:v>
      </x:c>
    </x:row>
    <x:row r="57">
      <x:c r="A57" t="str">
        <x:v>Up to Percent Off collection - Marpipe</x:v>
      </x:c>
      <x:c r="B57" t="str">
        <x:v>usa - catalog - tof/bof - marpipe - CBO</x:v>
      </x:c>
      <x:c r="C57" t="str">
        <x:v>Nobl</x:v>
      </x:c>
      <x:c r="D57" t="str">
        <x:v>Brand page</x:v>
      </x:c>
      <x:c r="E57" t="n">
        <x:v>2</x:v>
      </x:c>
      <x:c r="F57" t="n">
        <x:v>1</x:v>
      </x:c>
      <x:c r="G57" t="n">
        <x:v>0</x:v>
      </x:c>
      <x:c r="H57" t="n">
        <x:v>0</x:v>
      </x:c>
      <x:c r="I57" t="n">
        <x:v>1</x:v>
      </x:c>
      <x:c r="J57" t="n">
        <x:v>0</x:v>
      </x:c>
    </x:row>
    <x:row r="58">
      <x:c r="A58" t="str">
        <x:v>Script 1 - Image 1</x:v>
      </x:c>
      <x:c r="B58" t="str">
        <x:v>test - static - all</x:v>
      </x:c>
      <x:c r="C58" t="str">
        <x:v>Nobl</x:v>
      </x:c>
      <x:c r="D58" t="str">
        <x:v>Brand page</x:v>
      </x:c>
      <x:c r="E58" t="n">
        <x:v>2</x:v>
      </x:c>
      <x:c r="F58" t="n">
        <x:v>1</x:v>
      </x:c>
      <x:c r="G58" t="n">
        <x:v>1</x:v>
      </x:c>
      <x:c r="H58" t="n">
        <x:v>0</x:v>
      </x:c>
      <x:c r="I58" t="n">
        <x:v>0</x:v>
      </x:c>
      <x:c r="J58" t="n">
        <x:v>0</x:v>
      </x:c>
    </x:row>
    <x:row r="59">
      <x:c r="A59" t="str">
        <x:v>Organic · @elana.socials</x:v>
      </x:c>
      <x:c r="B59" t="str">
        <x:v>Organic</x:v>
      </x:c>
      <x:c r="C59" t="str">
        <x:v>Unattributed</x:v>
      </x:c>
      <x:c r="D59" t="str">
        <x:v>Creator / Whitelist</x:v>
      </x:c>
      <x:c r="E59" t="n">
        <x:v>2</x:v>
      </x:c>
      <x:c r="F59" t="n">
        <x:v>2</x:v>
      </x:c>
      <x:c r="G59" t="n">
        <x:v>0</x:v>
      </x:c>
      <x:c r="H59" t="n">
        <x:v>0</x:v>
      </x:c>
      <x:c r="I59" t="n">
        <x:v>0</x:v>
      </x:c>
      <x:c r="J59" t="n">
        <x:v>0</x:v>
      </x:c>
    </x:row>
    <x:row r="60">
      <x:c r="A60" t="str">
        <x:v>122225_CanWeTalkTOF1_v1_AIO_Evergreen - 001NYS - 002FA - 000AIO - 003122225_CanWeTalkTOF1_v1_AIO_Evergreen - 004MULTI - 005US - 006⁠FunctionalTraveler - 007COMP - 00860s - 009MULTI - 010V1 - 011MULTI - 012ENG</x:v>
      </x:c>
      <x:c r="B60" t="str">
        <x:v>[n] usa - tof - all</x:v>
      </x:c>
      <x:c r="C60" t="str">
        <x:v>Nobl</x:v>
      </x:c>
      <x:c r="D60" t="str">
        <x:v>Brand page</x:v>
      </x:c>
      <x:c r="E60" t="n">
        <x:v>2</x:v>
      </x:c>
      <x:c r="F60" t="n">
        <x:v>0</x:v>
      </x:c>
      <x:c r="G60" t="n">
        <x:v>0</x:v>
      </x:c>
      <x:c r="H60" t="n">
        <x:v>2</x:v>
      </x:c>
      <x:c r="I60" t="n">
        <x:v>0</x:v>
      </x:c>
      <x:c r="J60" t="n">
        <x:v>0</x:v>
      </x:c>
    </x:row>
    <x:row r="61">
      <x:c r="A61" t="str">
        <x:v>Organic · @christinakatelobo</x:v>
      </x:c>
      <x:c r="B61" t="str">
        <x:v>Organic</x:v>
      </x:c>
      <x:c r="C61" t="str">
        <x:v>Unattributed</x:v>
      </x:c>
      <x:c r="D61" t="str">
        <x:v>Creator / Whitelist</x:v>
      </x:c>
      <x:c r="E61" t="n">
        <x:v>2</x:v>
      </x:c>
      <x:c r="F61" t="n">
        <x:v>2</x:v>
      </x:c>
      <x:c r="G61" t="n">
        <x:v>0</x:v>
      </x:c>
      <x:c r="H61" t="n">
        <x:v>0</x:v>
      </x:c>
      <x:c r="I61" t="n">
        <x:v>0</x:v>
      </x:c>
      <x:c r="J61" t="n">
        <x:v>0</x:v>
      </x:c>
    </x:row>
    <x:row r="62">
      <x:c r="A62" t="str">
        <x:v>060826_J-0418v4_SkiTripStory_TOF_Vid_000AIO_Evergreen_LP001_001NYS_002FA_003UGC_005J1_007FGN_008FGN_009B_010B_011M7S38_013F4W_014USA_015AAT</x:v>
      </x:c>
      <x:c r="B62" t="str">
        <x:v>usa - tof/mof - all</x:v>
      </x:c>
      <x:c r="C62" t="str">
        <x:v>Nobl</x:v>
      </x:c>
      <x:c r="D62" t="str">
        <x:v>Brand page</x:v>
      </x:c>
      <x:c r="E62" t="n">
        <x:v>2</x:v>
      </x:c>
      <x:c r="F62" t="n">
        <x:v>0</x:v>
      </x:c>
      <x:c r="G62" t="n">
        <x:v>0</x:v>
      </x:c>
      <x:c r="H62" t="n">
        <x:v>2</x:v>
      </x:c>
      <x:c r="I62" t="n">
        <x:v>0</x:v>
      </x:c>
      <x:c r="J62" t="n">
        <x:v>0</x:v>
      </x:c>
    </x:row>
    <x:row r="63">
      <x:c r="A63" t="str">
        <x:v>060826_J-0408v4_SomeoneAskedMe_TOF_Vid_000AIO_Evergreen_LP001_001NYS_002FA_003NGC_005D1_007HPK_008HPK_009A_010A_011M1S21_013F1B_014USA_015AAA</x:v>
      </x:c>
      <x:c r="B63" t="str">
        <x:v>test - video - all</x:v>
      </x:c>
      <x:c r="C63" t="str">
        <x:v>Nobl</x:v>
      </x:c>
      <x:c r="D63" t="str">
        <x:v>Brand page</x:v>
      </x:c>
      <x:c r="E63" t="n">
        <x:v>2</x:v>
      </x:c>
      <x:c r="F63" t="n">
        <x:v>0</x:v>
      </x:c>
      <x:c r="G63" t="n">
        <x:v>1</x:v>
      </x:c>
      <x:c r="H63" t="n">
        <x:v>1</x:v>
      </x:c>
      <x:c r="I63" t="n">
        <x:v>0</x:v>
      </x:c>
      <x:c r="J63" t="n">
        <x:v>0</x:v>
      </x:c>
    </x:row>
    <x:row r="64">
      <x:c r="A64" t="str">
        <x:v>062926_J0570v3_TSAOpeners2UK_TOF_Vid_BJ7_000AIO_Evergreen_LP001_001NYS_002LK_003NGC_005F5_007SIL_008BYL_009E_010B_011M0S38_013F2W_014UK_015AFJ</x:v>
      </x:c>
      <x:c r="B64" t="str">
        <x:v>uk - tof - all</x:v>
      </x:c>
      <x:c r="C64" t="str">
        <x:v>Nobl</x:v>
      </x:c>
      <x:c r="D64" t="str">
        <x:v>Brand page</x:v>
      </x:c>
      <x:c r="E64" t="n">
        <x:v>2</x:v>
      </x:c>
      <x:c r="F64" t="n">
        <x:v>1</x:v>
      </x:c>
      <x:c r="G64" t="n">
        <x:v>0</x:v>
      </x:c>
      <x:c r="H64" t="n">
        <x:v>1</x:v>
      </x:c>
      <x:c r="I64" t="n">
        <x:v>0</x:v>
      </x:c>
      <x:c r="J64" t="n">
        <x:v>0</x:v>
      </x:c>
    </x:row>
    <x:row r="65">
      <x:c r="A65" t="str">
        <x:v>041326_InfluencerChisannahTOF1_v1_AIO_Evergreen_WL - 001NYS - 002TC - 000AIO - 004SIL - 005US - 006SavvyTraveler - 007DEMO - 00830s - 009FRE - 010V6 - 011YAWO - 012ENG - 013AAT</x:v>
      </x:c>
      <x:c r="B65" t="str">
        <x:v>[n] usa - tof - all</x:v>
      </x:c>
      <x:c r="C65" t="str">
        <x:v>Nobl</x:v>
      </x:c>
      <x:c r="D65" t="str">
        <x:v>Brand page</x:v>
      </x:c>
      <x:c r="E65" t="n">
        <x:v>2</x:v>
      </x:c>
      <x:c r="F65" t="n">
        <x:v>0</x:v>
      </x:c>
      <x:c r="G65" t="n">
        <x:v>0</x:v>
      </x:c>
      <x:c r="H65" t="n">
        <x:v>2</x:v>
      </x:c>
      <x:c r="I65" t="n">
        <x:v>0</x:v>
      </x:c>
      <x:c r="J65" t="n">
        <x:v>0</x:v>
      </x:c>
    </x:row>
    <x:row r="66">
      <x:c r="A66" t="str">
        <x:v>042026_GFGiftCraftyFlightAttendantTOF1_v1_AIO_Evergreen - 042026_GFGiftCraftyFlightAttendantTOF1_v1_AIO_Evergreen - 001NYS - 002TC - 000AIO - 004MULTI - 005US - 006SavvyTraveler - 007DEMO - 00860s - 009MAI - 010V2 - 011MULTI - 012ENG - 013AAT</x:v>
      </x:c>
      <x:c r="B66" t="str">
        <x:v>[n] usa - tof - all</x:v>
      </x:c>
      <x:c r="C66" t="str">
        <x:v>Nobl</x:v>
      </x:c>
      <x:c r="D66" t="str">
        <x:v>Brand page</x:v>
      </x:c>
      <x:c r="E66" t="n">
        <x:v>2</x:v>
      </x:c>
      <x:c r="F66" t="n">
        <x:v>0</x:v>
      </x:c>
      <x:c r="G66" t="n">
        <x:v>1</x:v>
      </x:c>
      <x:c r="H66" t="n">
        <x:v>1</x:v>
      </x:c>
      <x:c r="I66" t="n">
        <x:v>0</x:v>
      </x:c>
      <x:c r="J66" t="n">
        <x:v>0</x:v>
      </x:c>
    </x:row>
    <x:row r="67">
      <x:c r="A67" t="str">
        <x:v>122225_CanWeTalkTOF1_v1_AIO_Evergreen - 001NYS - 002FA - 000AIO - 003122225_CanWeTalkTOF1_v1_AIO_Evergreen - 004MULTI - 005US - 006⁠FunctionalTraveler - 007COMP - 00860s - 009MULTI - 010V1 - 011MULTI - 012ENG</x:v>
      </x:c>
      <x:c r="B67" t="str">
        <x:v>usa -  asc+ t-roas - all</x:v>
      </x:c>
      <x:c r="C67" t="str">
        <x:v>Nobl</x:v>
      </x:c>
      <x:c r="D67" t="str">
        <x:v>Brand page</x:v>
      </x:c>
      <x:c r="E67" t="n">
        <x:v>2</x:v>
      </x:c>
      <x:c r="F67" t="n">
        <x:v>0</x:v>
      </x:c>
      <x:c r="G67" t="n">
        <x:v>1</x:v>
      </x:c>
      <x:c r="H67" t="n">
        <x:v>1</x:v>
      </x:c>
      <x:c r="I67" t="n">
        <x:v>0</x:v>
      </x:c>
      <x:c r="J67" t="n">
        <x:v>0</x:v>
      </x:c>
    </x:row>
    <x:row r="68">
      <x:c r="A68" t="str">
        <x:v>J11v1_101325_ RidgeStyleDurabilityTOF1_V1_AIO_Evergreen - 001NYS - 002FA - 003Ridge-Style Durability Carry-On - 004SIL - OTHER - 006SavvyTraveler - 007VO - 00860s - 009FAI - 010V3 - 011YAWO - 012ENG</x:v>
      </x:c>
      <x:c r="B68" t="str">
        <x:v>can + aus - tof - all</x:v>
      </x:c>
      <x:c r="C68" t="str">
        <x:v>Nobl</x:v>
      </x:c>
      <x:c r="D68" t="str">
        <x:v>Brand page</x:v>
      </x:c>
      <x:c r="E68" t="n">
        <x:v>2</x:v>
      </x:c>
      <x:c r="F68" t="n">
        <x:v>0</x:v>
      </x:c>
      <x:c r="G68" t="n">
        <x:v>1</x:v>
      </x:c>
      <x:c r="H68" t="n">
        <x:v>1</x:v>
      </x:c>
      <x:c r="I68" t="n">
        <x:v>0</x:v>
      </x:c>
      <x:c r="J68" t="n">
        <x:v>0</x:v>
      </x:c>
    </x:row>
    <x:row r="69">
      <x:c r="A69" t="str">
        <x:v>062226_J0490v4_JessDalesTestimonial_Vid_000AIO_Evergreen_LP001_001NYS_002LK_003UGC_005A5_006SP005_007IVY_008IVY_009A_010A_011M0S59_013F2W_014USA_015AAA</x:v>
      </x:c>
      <x:c r="B69" t="str">
        <x:v>usa - tof - all</x:v>
      </x:c>
      <x:c r="C69" t="str">
        <x:v>Nobl</x:v>
      </x:c>
      <x:c r="D69" t="str">
        <x:v>Brand page</x:v>
      </x:c>
      <x:c r="E69" t="n">
        <x:v>2</x:v>
      </x:c>
      <x:c r="F69" t="n">
        <x:v>2</x:v>
      </x:c>
      <x:c r="G69" t="n">
        <x:v>0</x:v>
      </x:c>
      <x:c r="H69" t="n">
        <x:v>0</x:v>
      </x:c>
      <x:c r="I69" t="n">
        <x:v>0</x:v>
      </x:c>
      <x:c r="J69" t="n">
        <x:v>0</x:v>
      </x:c>
    </x:row>
    <x:row r="70">
      <x:c r="A70" t="str">
        <x:v>101325_ RidgeStyleDurabilityTOF1_V1_AIO_Evergreen - 001NYS - 002FA - 003Ridge-Style Durability Carry-On - 004SIL - OTHER - 006SavvyTraveler - 007VO - 00860s - 009FAI - 010V3 - 011YAWO - 012ENG</x:v>
      </x:c>
      <x:c r="B70" t="str">
        <x:v>[n] usa - tof - all</x:v>
      </x:c>
      <x:c r="C70" t="str">
        <x:v>Nobl</x:v>
      </x:c>
      <x:c r="D70" t="str">
        <x:v>Brand page</x:v>
      </x:c>
      <x:c r="E70" t="n">
        <x:v>2</x:v>
      </x:c>
      <x:c r="F70" t="n">
        <x:v>0</x:v>
      </x:c>
      <x:c r="G70" t="n">
        <x:v>2</x:v>
      </x:c>
      <x:c r="H70" t="n">
        <x:v>0</x:v>
      </x:c>
      <x:c r="I70" t="n">
        <x:v>0</x:v>
      </x:c>
      <x:c r="J70" t="n">
        <x:v>0</x:v>
      </x:c>
    </x:row>
    <x:row r="71">
      <x:c r="A71" t="str">
        <x:v>Organic · @angelenees.ugc</x:v>
      </x:c>
      <x:c r="B71" t="str">
        <x:v>Organic</x:v>
      </x:c>
      <x:c r="C71" t="str">
        <x:v>Unattributed</x:v>
      </x:c>
      <x:c r="D71" t="str">
        <x:v>Creator / Whitelist</x:v>
      </x:c>
      <x:c r="E71" t="n">
        <x:v>2</x:v>
      </x:c>
      <x:c r="F71" t="n">
        <x:v>0</x:v>
      </x:c>
      <x:c r="G71" t="n">
        <x:v>0</x:v>
      </x:c>
      <x:c r="H71" t="n">
        <x:v>2</x:v>
      </x:c>
      <x:c r="I71" t="n">
        <x:v>0</x:v>
      </x:c>
      <x:c r="J71" t="n">
        <x:v>0</x:v>
      </x:c>
    </x:row>
    <x:row r="72">
      <x:c r="A72" t="str">
        <x:v>Organic · @angelenees.ugc</x:v>
      </x:c>
      <x:c r="B72" t="str">
        <x:v>Organic</x:v>
      </x:c>
      <x:c r="C72" t="str">
        <x:v>Unattributed</x:v>
      </x:c>
      <x:c r="D72" t="str">
        <x:v>Creator / Whitelist</x:v>
      </x:c>
      <x:c r="E72" t="n">
        <x:v>2</x:v>
      </x:c>
      <x:c r="F72" t="n">
        <x:v>0</x:v>
      </x:c>
      <x:c r="G72" t="n">
        <x:v>0</x:v>
      </x:c>
      <x:c r="H72" t="n">
        <x:v>2</x:v>
      </x:c>
      <x:c r="I72" t="n">
        <x:v>0</x:v>
      </x:c>
      <x:c r="J72" t="n">
        <x:v>0</x:v>
      </x:c>
    </x:row>
    <x:row r="73">
      <x:c r="A73" t="str">
        <x:v>022326_NoblAirShortUGCTOF1_v1_Air_Evergreen - 001NYS - 002TC - 000AIR - 003022326_NoblAirShortUGCTOF1_v1_Air_Evergreen - 004ICE - 005US - 006ReadyToBuy - 007DEMO - 00820s - 009FAI - 010V1A - 011YAWO - 012ENG - 013AAU</x:v>
      </x:c>
      <x:c r="B73" t="str">
        <x:v>usa - tof/bof - air</x:v>
      </x:c>
      <x:c r="C73" t="str">
        <x:v>Nobl</x:v>
      </x:c>
      <x:c r="D73" t="str">
        <x:v>Brand page</x:v>
      </x:c>
      <x:c r="E73" t="n">
        <x:v>2</x:v>
      </x:c>
      <x:c r="F73" t="n">
        <x:v>0</x:v>
      </x:c>
      <x:c r="G73" t="n">
        <x:v>1</x:v>
      </x:c>
      <x:c r="H73" t="n">
        <x:v>0</x:v>
      </x:c>
      <x:c r="I73" t="n">
        <x:v>0</x:v>
      </x:c>
      <x:c r="J73" t="n">
        <x:v>1</x:v>
      </x:c>
    </x:row>
    <x:row r="74">
      <x:c r="A74" t="str">
        <x:v>020226_ReasonsShortTOF1_v1_AIO_Evergreen - 001NYS - 002TC - 000AIO - 003020226_ReasonsShortTOF1_v1_AIO_Evergreen - 004MULTI - 005US - 006ReadyToBuy - 007DEMO - 00850s - 009FAI - 010V4 - 011YAWO - 012ENG - 013AAA</x:v>
      </x:c>
      <x:c r="B74" t="str">
        <x:v>usa -  asc+ t-roas - all – losers</x:v>
      </x:c>
      <x:c r="C74" t="str">
        <x:v>Nobl</x:v>
      </x:c>
      <x:c r="D74" t="str">
        <x:v>Brand page</x:v>
      </x:c>
      <x:c r="E74" t="n">
        <x:v>1</x:v>
      </x:c>
      <x:c r="F74" t="n">
        <x:v>0</x:v>
      </x:c>
      <x:c r="G74" t="n">
        <x:v>0</x:v>
      </x:c>
      <x:c r="H74" t="n">
        <x:v>1</x:v>
      </x:c>
      <x:c r="I74" t="n">
        <x:v>0</x:v>
      </x:c>
      <x:c r="J74" t="n">
        <x:v>0</x:v>
      </x:c>
    </x:row>
    <x:row r="75">
      <x:c r="A75" t="str">
        <x:v>001NYS - 002TC - 000EXP - 003011226_AndrewExp3TOF1_v1_EXP_Evergreen_WL - 004BLK - 005US - 006SavvyTraveler - 007DEMO - 00850s - 009MRE - 010V1C- 011AMA - 012ENG - 013AAJ</x:v>
      </x:c>
      <x:c r="B75" t="str">
        <x:v>usa - tof - abo - (WEEK + EXP + DUO)</x:v>
      </x:c>
      <x:c r="C75" t="str">
        <x:v>Nobl</x:v>
      </x:c>
      <x:c r="D75" t="str">
        <x:v>Brand page</x:v>
      </x:c>
      <x:c r="E75" t="n">
        <x:v>1</x:v>
      </x:c>
      <x:c r="F75" t="n">
        <x:v>0</x:v>
      </x:c>
      <x:c r="G75" t="n">
        <x:v>0</x:v>
      </x:c>
      <x:c r="H75" t="n">
        <x:v>1</x:v>
      </x:c>
      <x:c r="I75" t="n">
        <x:v>0</x:v>
      </x:c>
      <x:c r="J75" t="n">
        <x:v>0</x:v>
      </x:c>
    </x:row>
    <x:row r="76">
      <x:c r="A76" t="str">
        <x:v>020226_WhenDidCarryOnsRefreshTOF1_V1_AIO_Evergreen - 001NYS - 002TC - 000AIO - 003020226_WhenDidCarryOnsRefreshTOF1_V1_AIO_Evergreen - 004ICE - 005US - 006SocialProofTraveler - 007DEMO - 00860s - 009FAI - 010V1A - 011YAWO - 012ENG - 013AAT</x:v>
      </x:c>
      <x:c r="B76" t="str">
        <x:v>usa - tof - all</x:v>
      </x:c>
      <x:c r="C76" t="str">
        <x:v>Nobl</x:v>
      </x:c>
      <x:c r="D76" t="str">
        <x:v>Brand page</x:v>
      </x:c>
      <x:c r="E76" t="n">
        <x:v>1</x:v>
      </x:c>
      <x:c r="F76" t="n">
        <x:v>0</x:v>
      </x:c>
      <x:c r="G76" t="n">
        <x:v>1</x:v>
      </x:c>
      <x:c r="H76" t="n">
        <x:v>0</x:v>
      </x:c>
      <x:c r="I76" t="n">
        <x:v>0</x:v>
      </x:c>
      <x:c r="J76" t="n">
        <x:v>0</x:v>
      </x:c>
    </x:row>
    <x:row r="77">
      <x:c r="A77" t="str">
        <x:v>041326_InfluencerR1KylaCentomoTOF1_v1_AIO_Evergreen_WL - 001NYS - 002TC - 000AIO - 004YLW - 005US - 006ReadyToBuy - 007DEMO - 00850s - 009FRE - 010V6 - 011YAWO - 012ENG - 013AAT</x:v>
      </x:c>
      <x:c r="B77" t="str">
        <x:v>[n] usa - tof - all</x:v>
      </x:c>
      <x:c r="C77" t="str">
        <x:v>Nobl</x:v>
      </x:c>
      <x:c r="D77" t="str">
        <x:v>Brand page</x:v>
      </x:c>
      <x:c r="E77" t="n">
        <x:v>1</x:v>
      </x:c>
      <x:c r="F77" t="n">
        <x:v>0</x:v>
      </x:c>
      <x:c r="G77" t="n">
        <x:v>0</x:v>
      </x:c>
      <x:c r="H77" t="n">
        <x:v>1</x:v>
      </x:c>
      <x:c r="I77" t="n">
        <x:v>0</x:v>
      </x:c>
      <x:c r="J77" t="n">
        <x:v>0</x:v>
      </x:c>
    </x:row>
    <x:row r="78">
      <x:c r="A78" t="str">
        <x:v>122225_WhenDidCarry-onsTOF1_v1_AIO_Evergreen - 001NYS - 002FA - 000AIO - 003122225_WhenDidCarry-onsTOF1_v1_AIO_Evergreen - 004MULTI - 005US - 006MaleTravelerRegularDad - 007DEMO - 00860s - 009MAI - 010V3 - 011AMA - 012ENG</x:v>
      </x:c>
      <x:c r="B78" t="str">
        <x:v>can + aus - tof - all</x:v>
      </x:c>
      <x:c r="C78" t="str">
        <x:v>Nobl</x:v>
      </x:c>
      <x:c r="D78" t="str">
        <x:v>Brand page</x:v>
      </x:c>
      <x:c r="E78" t="n">
        <x:v>1</x:v>
      </x:c>
      <x:c r="F78" t="n">
        <x:v>1</x:v>
      </x:c>
      <x:c r="G78" t="n">
        <x:v>0</x:v>
      </x:c>
      <x:c r="H78" t="n">
        <x:v>0</x:v>
      </x:c>
      <x:c r="I78" t="n">
        <x:v>0</x:v>
      </x:c>
      <x:c r="J78" t="n">
        <x:v>0</x:v>
      </x:c>
    </x:row>
    <x:row r="79">
      <x:c r="A79" t="str">
        <x:v>033026_BoughtCheckInQuickCutsShelbyMorisseauBOF1_v1_EBUN_Evergreen - 001NYS - 002TC - 000EBUN - 003033026_BoughtCheckInQuickCutsShelbyMorisseauBOF1_v1_EBUN_Evergreen - 004YLW - 005SA - 006SavvyTraveler - 007DEMO - 00820s - 009FAI - 010V3 - 011YAWO - 012ENG - 013ABT</x:v>
      </x:c>
      <x:c r="B79" t="str">
        <x:v>test - video - all</x:v>
      </x:c>
      <x:c r="C79" t="str">
        <x:v>Nobl</x:v>
      </x:c>
      <x:c r="D79" t="str">
        <x:v>Brand page</x:v>
      </x:c>
      <x:c r="E79" t="n">
        <x:v>1</x:v>
      </x:c>
      <x:c r="F79" t="n">
        <x:v>0</x:v>
      </x:c>
      <x:c r="G79" t="n">
        <x:v>0</x:v>
      </x:c>
      <x:c r="H79" t="n">
        <x:v>1</x:v>
      </x:c>
      <x:c r="I79" t="n">
        <x:v>0</x:v>
      </x:c>
      <x:c r="J79" t="n">
        <x:v>0</x:v>
      </x:c>
    </x:row>
    <x:row r="80">
      <x:c r="A80" t="str">
        <x:v>111025_StoppedDoingTOF1_v1_AIO_Evergreen - 001NYS - 002FA - 000AIO - 003111025_StoppedDoingTOF1_v1_AIO_Evergreen - 004MULTI - 005US - 006SavvyTraveler - 007DEMO - 00860s - 009MULTI - 010V2 - 011MULTI - 012ENG</x:v>
      </x:c>
      <x:c r="B80" t="str">
        <x:v>can - tof - all</x:v>
      </x:c>
      <x:c r="C80" t="str">
        <x:v>Nobl</x:v>
      </x:c>
      <x:c r="D80" t="str">
        <x:v>Brand page</x:v>
      </x:c>
      <x:c r="E80" t="n">
        <x:v>1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1</x:v>
      </x:c>
    </x:row>
    <x:row r="81">
      <x:c r="A81" t="str">
        <x:v>051826_J-0275v2_VotedTheBestLuggageLiliiaAlfavitska_TOF_Vid_000AIO_Evergreen_WL_LP001_001NYS_002FA_003NGC_005L1_006SP009_007SGE_008SGE_009B_010B_011M0S31_013F2W_014USA_015AAA</x:v>
      </x:c>
      <x:c r="B81" t="str">
        <x:v>usa -  asc+ t-roas - all – losers</x:v>
      </x:c>
      <x:c r="C81" t="str">
        <x:v>Nobl</x:v>
      </x:c>
      <x:c r="D81" t="str">
        <x:v>Brand page</x:v>
      </x:c>
      <x:c r="E81" t="n">
        <x:v>1</x:v>
      </x:c>
      <x:c r="F81" t="n">
        <x:v>0</x:v>
      </x:c>
      <x:c r="G81" t="n">
        <x:v>0</x:v>
      </x:c>
      <x:c r="H81" t="n">
        <x:v>1</x:v>
      </x:c>
      <x:c r="I81" t="n">
        <x:v>0</x:v>
      </x:c>
      <x:c r="J81" t="n">
        <x:v>0</x:v>
      </x:c>
    </x:row>
    <x:row r="82">
      <x:c r="A82" t="str">
        <x:v>Organic · Sarah Lauren</x:v>
      </x:c>
      <x:c r="B82" t="str">
        <x:v>Organic</x:v>
      </x:c>
      <x:c r="C82" t="str">
        <x:v>Unattributed</x:v>
      </x:c>
      <x:c r="D82" t="str">
        <x:v>Creator / Whitelist</x:v>
      </x:c>
      <x:c r="E82" t="n">
        <x:v>1</x:v>
      </x:c>
      <x:c r="F82" t="n">
        <x:v>0</x:v>
      </x:c>
      <x:c r="G82" t="n">
        <x:v>0</x:v>
      </x:c>
      <x:c r="H82" t="n">
        <x:v>1</x:v>
      </x:c>
      <x:c r="I82" t="n">
        <x:v>0</x:v>
      </x:c>
      <x:c r="J82" t="n">
        <x:v>0</x:v>
      </x:c>
    </x:row>
    <x:row r="83">
      <x:c r="A83" t="str">
        <x:v>042026_GFGiftCraftyFlightAttendantTOF1_v1_AIO_Evergreen - 042026_GFGiftCraftyFlightAttendantTOF1_v1_AIO_Evergreen - 001NYS - 002TC - 000AIO - 004MULTI - 005US - 006SavvyTraveler - 007DEMO - 00860s - 009MAI - 010V2 - 011MULTI - 012ENG - 013AAT</x:v>
      </x:c>
      <x:c r="B83" t="str">
        <x:v>usa - tof - all</x:v>
      </x:c>
      <x:c r="C83" t="str">
        <x:v>Nobl</x:v>
      </x:c>
      <x:c r="D83" t="str">
        <x:v>Brand page</x:v>
      </x:c>
      <x:c r="E83" t="n">
        <x:v>1</x:v>
      </x:c>
      <x:c r="F83" t="n">
        <x:v>0</x:v>
      </x:c>
      <x:c r="G83" t="n">
        <x:v>0</x:v>
      </x:c>
      <x:c r="H83" t="n">
        <x:v>1</x:v>
      </x:c>
      <x:c r="I83" t="n">
        <x:v>0</x:v>
      </x:c>
      <x:c r="J83" t="n">
        <x:v>0</x:v>
      </x:c>
    </x:row>
    <x:row r="84">
      <x:c r="A84" t="str">
        <x:v>062926_J0421v4_InfluenceKylaCentomoDiscountStickyNotes_Vid_000EBUN_SummerTravelSale_WL_LP003_001NYS_002TC_003NGC_005D1_006PR002_007BYL_008BYL_009F_010F_011M0S10_013F1W_014CAN_015ATA</x:v>
      </x:c>
      <x:c r="B84" t="str">
        <x:v>usa -  asc+ promo</x:v>
      </x:c>
      <x:c r="C84" t="str">
        <x:v>Nobl</x:v>
      </x:c>
      <x:c r="D84" t="str">
        <x:v>Brand page</x:v>
      </x:c>
      <x:c r="E84" t="n">
        <x:v>1</x:v>
      </x:c>
      <x:c r="F84" t="n">
        <x:v>0</x:v>
      </x:c>
      <x:c r="G84" t="n">
        <x:v>1</x:v>
      </x:c>
      <x:c r="H84" t="n">
        <x:v>0</x:v>
      </x:c>
      <x:c r="I84" t="n">
        <x:v>0</x:v>
      </x:c>
      <x:c r="J84" t="n">
        <x:v>0</x:v>
      </x:c>
    </x:row>
    <x:row r="85">
      <x:c r="A85" t="str">
        <x:v>J11v1_101325_ RidgeStyleDurabilityTOF1_V1_AIO_Evergreen - 001NYS - 002FA - 003Ridge-Style Durability Carry-On - 004SIL - OTHER - 006SavvyTraveler - 007VO - 00860s - 009FAI - 010V3 - 011YAWO - 012ENG</x:v>
      </x:c>
      <x:c r="B85" t="str">
        <x:v>usa -  asc+ t-roas - all</x:v>
      </x:c>
      <x:c r="C85" t="str">
        <x:v>Nobl</x:v>
      </x:c>
      <x:c r="D85" t="str">
        <x:v>Brand page</x:v>
      </x:c>
      <x:c r="E85" t="n">
        <x:v>1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1</x:v>
      </x:c>
    </x:row>
    <x:row r="86">
      <x:c r="A86" t="str">
        <x:v>012626_SAV_TSSNoblTOF6_v1_AIO_Evergreen - 001SAV - 002NOP - 000AIO - 003012626_SAV_TSSNoblTOF6_v1_AIO_Evergreen - 004MULTI - 005US - 006SavvyTraveler - 007DEMO - 00840s - 009FRE - 010V4 - 011YAWO - 012ENG - 013AAA</x:v>
      </x:c>
      <x:c r="B86" t="str">
        <x:v>usa - tof/mof - all</x:v>
      </x:c>
      <x:c r="C86" t="str">
        <x:v>Nobl</x:v>
      </x:c>
      <x:c r="D86" t="str">
        <x:v>Brand page</x:v>
      </x:c>
      <x:c r="E86" t="n">
        <x:v>1</x:v>
      </x:c>
      <x:c r="F86" t="n">
        <x:v>0</x:v>
      </x:c>
      <x:c r="G86" t="n">
        <x:v>1</x:v>
      </x:c>
      <x:c r="H86" t="n">
        <x:v>0</x:v>
      </x:c>
      <x:c r="I86" t="n">
        <x:v>0</x:v>
      </x:c>
      <x:c r="J86" t="n">
        <x:v>0</x:v>
      </x:c>
    </x:row>
    <x:row r="87">
      <x:c r="A87" t="str">
        <x:v>041326_InfluencerR1KylaCentomoTOF1_v1_AIO_Evergreen_WL - 001NYS - 002TC - 000AIO - 004YLW - 005US - 006ReadyToBuy - 007DEMO - 00850s - 009FRE - 010V6 - 011YAWO - 012ENG - 013AAT</x:v>
      </x:c>
      <x:c r="B87" t="str">
        <x:v>usa - tof - all</x:v>
      </x:c>
      <x:c r="C87" t="str">
        <x:v>Nobl</x:v>
      </x:c>
      <x:c r="D87" t="str">
        <x:v>Brand page</x:v>
      </x:c>
      <x:c r="E87" t="n">
        <x:v>1</x:v>
      </x:c>
      <x:c r="F87" t="n">
        <x:v>1</x:v>
      </x:c>
      <x:c r="G87" t="n">
        <x:v>0</x:v>
      </x:c>
      <x:c r="H87" t="n">
        <x:v>0</x:v>
      </x:c>
      <x:c r="I87" t="n">
        <x:v>0</x:v>
      </x:c>
      <x:c r="J87" t="n">
        <x:v>0</x:v>
      </x:c>
    </x:row>
    <x:row r="88">
      <x:c r="A88" t="str">
        <x:v>111025_StoppedDoingTOF1_v1_AIO_Evergreen - 001NYS - 002FA - 000AIO - 003111025_StoppedDoingTOF1_v1_AIO_Evergreen - 004MULTI - 005US - 006SavvyTraveler - 007DEMO - 00860s - 009MULTI - 010V2 - 011MULTI - 012ENG</x:v>
      </x:c>
      <x:c r="B88" t="str">
        <x:v>usa - tof - all</x:v>
      </x:c>
      <x:c r="C88" t="str">
        <x:v>Nobl</x:v>
      </x:c>
      <x:c r="D88" t="str">
        <x:v>Brand page</x:v>
      </x:c>
      <x:c r="E88" t="n">
        <x:v>1</x:v>
      </x:c>
      <x:c r="F88" t="n">
        <x:v>0</x:v>
      </x:c>
      <x:c r="G88" t="n">
        <x:v>0</x:v>
      </x:c>
      <x:c r="H88" t="n">
        <x:v>1</x:v>
      </x:c>
      <x:c r="I88" t="n">
        <x:v>0</x:v>
      </x:c>
      <x:c r="J88" t="n">
        <x:v>0</x:v>
      </x:c>
    </x:row>
    <x:row r="89">
      <x:c r="A89" t="str">
        <x:v>102725_TravelUnbotheredTOF1_V1_AIO_Evergreen 001NYS - 002FA - 003102725_TravelUnbotheredTOF1_V1_AIO_Evergreen - 004MULTI - 005US - 006MaleTravelerRegularDad - 007DEMO - 00860s - 009MAI - 010V1 - 011AMA - 012ENG</x:v>
      </x:c>
      <x:c r="B89" t="str">
        <x:v>eu  -  asc+ t-roas - all (English)</x:v>
      </x:c>
      <x:c r="C89" t="str">
        <x:v>Nobl</x:v>
      </x:c>
      <x:c r="D89" t="str">
        <x:v>Brand page</x:v>
      </x:c>
      <x:c r="E89" t="n">
        <x:v>1</x:v>
      </x:c>
      <x:c r="F89" t="n">
        <x:v>1</x:v>
      </x:c>
      <x:c r="G89" t="n">
        <x:v>0</x:v>
      </x:c>
      <x:c r="H89" t="n">
        <x:v>0</x:v>
      </x:c>
      <x:c r="I89" t="n">
        <x:v>0</x:v>
      </x:c>
      <x:c r="J89" t="n">
        <x:v>0</x:v>
      </x:c>
    </x:row>
    <x:row r="90">
      <x:c r="A90" t="str">
        <x:v>031626_CanadaLaunchUGCTOF1_v1_AIO_Evergreen - 001NYS - 002TC - 000AIO - 003031626_CanadaLaunchUGCTOF1_v1_AIO_Evergreen - 004YLW - 005US - 006⁠FunctionalTraveler - 007DEMO - 00850s - 009MULTI - 010V2 - 011YAWO - 012ENG - 013ABF</x:v>
      </x:c>
      <x:c r="B90" t="str">
        <x:v>can + aus - tof - all</x:v>
      </x:c>
      <x:c r="C90" t="str">
        <x:v>Nobl</x:v>
      </x:c>
      <x:c r="D90" t="str">
        <x:v>Brand page</x:v>
      </x:c>
      <x:c r="E90" t="n">
        <x:v>1</x:v>
      </x:c>
      <x:c r="F90" t="n">
        <x:v>0</x:v>
      </x:c>
      <x:c r="G90" t="n">
        <x:v>1</x:v>
      </x:c>
      <x:c r="H90" t="n">
        <x:v>0</x:v>
      </x:c>
      <x:c r="I90" t="n">
        <x:v>0</x:v>
      </x:c>
      <x:c r="J90" t="n">
        <x:v>0</x:v>
      </x:c>
    </x:row>
    <x:row r="91">
      <x:c r="A91" t="str">
        <x:v>000AIO - 001NYS - 002 - 004Multi - 005SA - 008BoF - OTHER - Apology Ad Black</x:v>
      </x:c>
      <x:c r="B91" t="str">
        <x:v>can - tof - all</x:v>
      </x:c>
      <x:c r="C91" t="str">
        <x:v>Nobl</x:v>
      </x:c>
      <x:c r="D91" t="str">
        <x:v>Brand page</x:v>
      </x:c>
      <x:c r="E91" t="n">
        <x:v>1</x:v>
      </x:c>
      <x:c r="F91" t="n">
        <x:v>0</x:v>
      </x:c>
      <x:c r="G91" t="n">
        <x:v>1</x:v>
      </x:c>
      <x:c r="H91" t="n">
        <x:v>0</x:v>
      </x:c>
      <x:c r="I91" t="n">
        <x:v>0</x:v>
      </x:c>
      <x:c r="J91" t="n">
        <x:v>0</x:v>
      </x:c>
    </x:row>
    <x:row r="92">
      <x:c r="A92" t="str">
        <x:v>NOBL Air creatives (only NOBL Air) - 000AIR - 001NYS - 002CA - 004Multi - 005NP - 008ToF - OTHER - V3 - v19 - 2 – Copy - Copy</x:v>
      </x:c>
      <x:c r="B92" t="str">
        <x:v>usa - tof/bof - air</x:v>
      </x:c>
      <x:c r="C92" t="str">
        <x:v>Nobl</x:v>
      </x:c>
      <x:c r="D92" t="str">
        <x:v>Brand page</x:v>
      </x:c>
      <x:c r="E92" t="n">
        <x:v>1</x:v>
      </x:c>
      <x:c r="F92" t="n">
        <x:v>0</x:v>
      </x:c>
      <x:c r="G92" t="n">
        <x:v>1</x:v>
      </x:c>
      <x:c r="H92" t="n">
        <x:v>0</x:v>
      </x:c>
      <x:c r="I92" t="n">
        <x:v>0</x:v>
      </x:c>
      <x:c r="J92" t="n">
        <x:v>0</x:v>
      </x:c>
    </x:row>
    <x:row r="93">
      <x:c r="A93" t="str">
        <x:v>060126_J-0373v2_IveHadSoCalled_TOF_Vid_000AIO_Evergreen_LP001_001NYS_002FA_003NGC_005D4_007NA_008MBL_009B_010B_011M0S48_013M2W_014USA_015AAT</x:v>
      </x:c>
      <x:c r="B93" t="str">
        <x:v>[n] usa - tof - all</x:v>
      </x:c>
      <x:c r="C93" t="str">
        <x:v>Nobl</x:v>
      </x:c>
      <x:c r="D93" t="str">
        <x:v>Brand page</x:v>
      </x:c>
      <x:c r="E93" t="n">
        <x:v>1</x:v>
      </x:c>
      <x:c r="F93" t="n">
        <x:v>0</x:v>
      </x:c>
      <x:c r="G93" t="n">
        <x:v>1</x:v>
      </x:c>
      <x:c r="H93" t="n">
        <x:v>0</x:v>
      </x:c>
      <x:c r="I93" t="n">
        <x:v>0</x:v>
      </x:c>
      <x:c r="J93" t="n">
        <x:v>0</x:v>
      </x:c>
    </x:row>
    <x:row r="94">
      <x:c r="A94" t="str">
        <x:v>042026_GirlMathTOF1_V1_AIO_Evergreen - 001NYS - 002FA - 000AIO - 004MULTI - 005US - 006⁠FunctionalTraveler - 007DEMO - 008MULTI - 009MULTI - 010V4 - 011MULTI - 012ENG - 013ABT</x:v>
      </x:c>
      <x:c r="B94" t="str">
        <x:v>[n] usa - tof - all</x:v>
      </x:c>
      <x:c r="C94" t="str">
        <x:v>Nobl</x:v>
      </x:c>
      <x:c r="D94" t="str">
        <x:v>Brand page</x:v>
      </x:c>
      <x:c r="E94" t="n">
        <x:v>1</x:v>
      </x:c>
      <x:c r="F94" t="n">
        <x:v>0</x:v>
      </x:c>
      <x:c r="G94" t="n">
        <x:v>0</x:v>
      </x:c>
      <x:c r="H94" t="n">
        <x:v>1</x:v>
      </x:c>
      <x:c r="I94" t="n">
        <x:v>0</x:v>
      </x:c>
      <x:c r="J94" t="n">
        <x:v>0</x:v>
      </x:c>
    </x:row>
    <x:row r="95">
      <x:c r="A95" t="str">
        <x:v>122225_WhenDidCarry-onsTOF1_v1_AIO_Evergreen - 001NYS - 002FA - 000AIO - 003122225_WhenDidCarry-onsTOF1_v1_AIO_Evergreen - 004MULTI - 005US - 006MaleTravelerRegularDad - 007DEMO - 00860s - 009MAI - 010V3 - 011AMA - 012ENG</x:v>
      </x:c>
      <x:c r="B95" t="str">
        <x:v>usa - tof - all</x:v>
      </x:c>
      <x:c r="C95" t="str">
        <x:v>Nobl</x:v>
      </x:c>
      <x:c r="D95" t="str">
        <x:v>Brand page</x:v>
      </x:c>
      <x:c r="E95" t="n">
        <x:v>1</x:v>
      </x:c>
      <x:c r="F95" t="n">
        <x:v>1</x:v>
      </x:c>
      <x:c r="G95" t="n">
        <x:v>0</x:v>
      </x:c>
      <x:c r="H95" t="n">
        <x:v>0</x:v>
      </x:c>
      <x:c r="I95" t="n">
        <x:v>0</x:v>
      </x:c>
      <x:c r="J95" t="n">
        <x:v>0</x:v>
      </x:c>
    </x:row>
    <x:row r="96">
      <x:c r="A96" t="str">
        <x:v>062226_J0509v2_NDBJuly4thSale_BOF_Vid_B130v1_000NDB_July4thSale_LP007_001NYS_002TC_003UGC_005L1_006PR003_007CRD_008MULTI_009A_010A_011M0S15_013F1W_014USA</x:v>
      </x:c>
      <x:c r="B96" t="str">
        <x:v>usa -  asc+ promo</x:v>
      </x:c>
      <x:c r="C96" t="str">
        <x:v>Nobl</x:v>
      </x:c>
      <x:c r="D96" t="str">
        <x:v>Brand page</x:v>
      </x:c>
      <x:c r="E96" t="n">
        <x:v>1</x:v>
      </x:c>
      <x:c r="F96" t="n">
        <x:v>0</x:v>
      </x:c>
      <x:c r="G96" t="n">
        <x:v>0</x:v>
      </x:c>
      <x:c r="H96" t="n">
        <x:v>1</x:v>
      </x:c>
      <x:c r="I96" t="n">
        <x:v>0</x:v>
      </x:c>
      <x:c r="J96" t="n">
        <x:v>0</x:v>
      </x:c>
    </x:row>
    <x:row r="97">
      <x:c r="A97" t="str">
        <x:v>033026_C93_appfocusedTOF1_V1_MAIN_Evergreen - 033026_C93_appfocusedTOF1_V1_MAIN_Evergreen - 001NYS - 002CA - 000MAIN - 004MULTI - 005US - 006ValueDriven - 007DEMO - 008MULTI - 009FAI - 010V4 - 011AWO - 012ENG - 013</x:v>
      </x:c>
      <x:c r="B97" t="str">
        <x:v>usa - tof - portable</x:v>
      </x:c>
      <x:c r="C97" t="str">
        <x:v>Flo</x:v>
      </x:c>
      <x:c r="D97" t="str">
        <x:v>Brand page</x:v>
      </x:c>
      <x:c r="E97" t="n">
        <x:v>1</x:v>
      </x:c>
      <x:c r="F97" t="n">
        <x:v>0</x:v>
      </x:c>
      <x:c r="G97" t="n">
        <x:v>1</x:v>
      </x:c>
      <x:c r="H97" t="n">
        <x:v>0</x:v>
      </x:c>
      <x:c r="I97" t="n">
        <x:v>0</x:v>
      </x:c>
      <x:c r="J97" t="n">
        <x:v>0</x:v>
      </x:c>
    </x:row>
    <x:row r="98">
      <x:c r="A98" t="str">
        <x:v>040626_itstheaioJasminShannonTOF1_V1_AIO_Evergreen - 040626_itstheaioJasminShannonTOF1_V1_AIO_Evergreen - 001NYS - 002TC - 000AIO - 004PK - 005US - 006SavvyTraveler - 007DEMO - 00830s - 009FRE - 010V1 - 011YAWO - 012ENG - 013AAT</x:v>
      </x:c>
      <x:c r="B98" t="str">
        <x:v>usa -  asc+ t-roas - all – losers</x:v>
      </x:c>
      <x:c r="C98" t="str">
        <x:v>Nobl</x:v>
      </x:c>
      <x:c r="D98" t="str">
        <x:v>Brand page</x:v>
      </x:c>
      <x:c r="E98" t="n">
        <x:v>1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1</x:v>
      </x:c>
    </x:row>
    <x:row r="99">
      <x:c r="A99" t="str">
        <x:v>020226_WhenDidCarryOnsRefreshTOF1_V1_AIO_Evergreen - 001NYS - 002TC - 000AIO - 003020226_WhenDidCarryOnsRefreshTOF1_V1_AIO_Evergreen - 004ICE - 005US - 006SocialProofTraveler - 007DEMO - 00860s - 009FAI - 010V1A - 011YAWO - 012ENG - 013AAT</x:v>
      </x:c>
      <x:c r="B99" t="str">
        <x:v>[n] usa - tof - all</x:v>
      </x:c>
      <x:c r="C99" t="str">
        <x:v>Nobl</x:v>
      </x:c>
      <x:c r="D99" t="str">
        <x:v>Brand page</x:v>
      </x:c>
      <x:c r="E99" t="n">
        <x:v>1</x:v>
      </x:c>
      <x:c r="F99" t="n">
        <x:v>0</x:v>
      </x:c>
      <x:c r="G99" t="n">
        <x:v>0</x:v>
      </x:c>
      <x:c r="H99" t="n">
        <x:v>0</x:v>
      </x:c>
      <x:c r="I99" t="n">
        <x:v>1</x:v>
      </x:c>
      <x:c r="J99" t="n">
        <x:v>0</x:v>
      </x:c>
    </x:row>
    <x:row r="100">
      <x:c r="A100" t="str">
        <x:v>022326_NoblAirShortUGCTOF1_v1_Air_Evergreen - 001NYS - 002TC - 000AIR - 003022326_NoblAirShortUGCTOF1_v1_Air_Evergreen - 004ICE - 005US - 006ReadyToBuy - 007DEMO - 00820s - 009FAI - 010V1A - 011YAWO - 012ENG - 013AAU</x:v>
      </x:c>
      <x:c r="B100" t="str">
        <x:v>usa - tof/bof - air</x:v>
      </x:c>
      <x:c r="C100" t="str">
        <x:v>Nobl</x:v>
      </x:c>
      <x:c r="D100" t="str">
        <x:v>Brand page</x:v>
      </x:c>
      <x:c r="E100" t="n">
        <x:v>1</x:v>
      </x:c>
      <x:c r="F100" t="n">
        <x:v>1</x:v>
      </x:c>
      <x:c r="G100" t="n">
        <x:v>0</x:v>
      </x:c>
      <x:c r="H100" t="n">
        <x:v>0</x:v>
      </x:c>
      <x:c r="I100" t="n">
        <x:v>0</x:v>
      </x:c>
      <x:c r="J100" t="n">
        <x:v>0</x:v>
      </x:c>
    </x:row>
    <x:row r="101">
      <x:c r="A101" t="str">
        <x:v>Organic · @sarahlauren_71</x:v>
      </x:c>
      <x:c r="B101" t="str">
        <x:v>Organic</x:v>
      </x:c>
      <x:c r="C101" t="str">
        <x:v>Unattributed</x:v>
      </x:c>
      <x:c r="D101" t="str">
        <x:v>Creator / Whitelist</x:v>
      </x:c>
      <x:c r="E101" t="n">
        <x:v>1</x:v>
      </x:c>
      <x:c r="F101" t="n">
        <x:v>0</x:v>
      </x:c>
      <x:c r="G101" t="n">
        <x:v>0</x:v>
      </x:c>
      <x:c r="H101" t="n">
        <x:v>1</x:v>
      </x:c>
      <x:c r="I101" t="n">
        <x:v>0</x:v>
      </x:c>
      <x:c r="J101" t="n">
        <x:v>0</x:v>
      </x:c>
    </x:row>
    <x:row r="102">
      <x:c r="A102" t="str">
        <x:v>120825_FeelsILLegalBundle6FreeItemsBOF1_V1_AIO_Evergreen - 001NYS - 002LK - 000MULTI - 003120825_FeelsILLegalBundle6FreeItemsBOF1_V1_AIO_Evergreen - 004MULTI - 005SA - 006ReadyToBuy - 007MON - 00830s - 009FAI - 010V2 - 011YWO - 012ENG</x:v>
      </x:c>
      <x:c r="B102" t="str">
        <x:v>test - video - all</x:v>
      </x:c>
      <x:c r="C102" t="str">
        <x:v>Nobl</x:v>
      </x:c>
      <x:c r="D102" t="str">
        <x:v>Brand page</x:v>
      </x:c>
      <x:c r="E102" t="n">
        <x:v>1</x:v>
      </x:c>
      <x:c r="F102" t="n">
        <x:v>0</x:v>
      </x:c>
      <x:c r="G102" t="n">
        <x:v>0</x:v>
      </x:c>
      <x:c r="H102" t="n">
        <x:v>1</x:v>
      </x:c>
      <x:c r="I102" t="n">
        <x:v>0</x:v>
      </x:c>
      <x:c r="J102" t="n">
        <x:v>0</x:v>
      </x:c>
    </x:row>
    <x:row r="103">
      <x:c r="A103" t="str">
        <x:v>Organic · @creatorchameleon</x:v>
      </x:c>
      <x:c r="B103" t="str">
        <x:v>Organic</x:v>
      </x:c>
      <x:c r="C103" t="str">
        <x:v>Unattributed</x:v>
      </x:c>
      <x:c r="D103" t="str">
        <x:v>Creator / Whitelist</x:v>
      </x:c>
      <x:c r="E103" t="n">
        <x:v>1</x:v>
      </x:c>
      <x:c r="F103" t="n">
        <x:v>0</x:v>
      </x:c>
      <x:c r="G103" t="n">
        <x:v>0</x:v>
      </x:c>
      <x:c r="H103" t="n">
        <x:v>0</x:v>
      </x:c>
      <x:c r="I103" t="n">
        <x:v>1</x:v>
      </x:c>
      <x:c r="J103" t="n">
        <x:v>0</x:v>
      </x:c>
    </x:row>
    <x:row r="104">
      <x:c r="A104" t="str">
        <x:v>Organic · @nobltravel</x:v>
      </x:c>
      <x:c r="B104" t="str">
        <x:v>Organic</x:v>
      </x:c>
      <x:c r="C104" t="str">
        <x:v>Nobl</x:v>
      </x:c>
      <x:c r="D104" t="str">
        <x:v>Organic</x:v>
      </x:c>
      <x:c r="E104" t="n">
        <x:v>1</x:v>
      </x:c>
      <x:c r="F104" t="n">
        <x:v>1</x:v>
      </x:c>
      <x:c r="G104" t="n">
        <x:v>0</x:v>
      </x:c>
      <x:c r="H104" t="n">
        <x:v>0</x:v>
      </x:c>
      <x:c r="I104" t="n">
        <x:v>0</x:v>
      </x:c>
      <x:c r="J104" t="n">
        <x:v>0</x:v>
      </x:c>
    </x:row>
    <x:row r="105">
      <x:c r="A105" t="str">
        <x:v>001NYS - 002TC - 000AIO - 003033026_BallingOnABudgetRefreshFrancoisHuynhTOF1_v1_AIO_Evergreen - 004SIL - 005US - 006ReadyToBuy - 007DEMO - 00830s - 009MAI - 010V1 - 011YAMA - 012ENG - 013AAT</x:v>
      </x:c>
      <x:c r="B105" t="str">
        <x:v>test - video - all</x:v>
      </x:c>
      <x:c r="C105" t="str">
        <x:v>Nobl</x:v>
      </x:c>
      <x:c r="D105" t="str">
        <x:v>Creator / Whitelist</x:v>
      </x:c>
      <x:c r="E105" t="n">
        <x:v>1</x:v>
      </x:c>
      <x:c r="F105" t="n">
        <x:v>0</x:v>
      </x:c>
      <x:c r="G105" t="n">
        <x:v>1</x:v>
      </x:c>
      <x:c r="H105" t="n">
        <x:v>0</x:v>
      </x:c>
      <x:c r="I105" t="n">
        <x:v>0</x:v>
      </x:c>
      <x:c r="J105" t="n">
        <x:v>0</x:v>
      </x:c>
    </x:row>
    <x:row r="106">
      <x:c r="A106" t="str">
        <x:v>062226_J0509v6_NDBJuly4thSale_Vid_B130v1_000NDB_July4thSale_LP007_001NYS_002TC_003UGC_005D2_006PR003_007CRD_008MULTI_009A_010A_011M0S15_013F1W_014USA</x:v>
      </x:c>
      <x:c r="B106" t="str">
        <x:v>usa -  asc+ promo</x:v>
      </x:c>
      <x:c r="C106" t="str">
        <x:v>Nobl</x:v>
      </x:c>
      <x:c r="D106" t="str">
        <x:v>Brand page</x:v>
      </x:c>
      <x:c r="E106" t="n">
        <x:v>1</x:v>
      </x:c>
      <x:c r="F106" t="n">
        <x:v>0</x:v>
      </x:c>
      <x:c r="G106" t="n">
        <x:v>0</x:v>
      </x:c>
      <x:c r="H106" t="n">
        <x:v>1</x:v>
      </x:c>
      <x:c r="I106" t="n">
        <x:v>0</x:v>
      </x:c>
      <x:c r="J106" t="n">
        <x:v>0</x:v>
      </x:c>
    </x:row>
    <x:row r="107">
      <x:c r="A107" t="str">
        <x:v>030926_GFGiftCraftyBrandedTOF1_v1_AIO_Evergreen - 001NYS - 002TC - 000AIO - 003030926_GFGiftCraftyBrandedTOF1_v1_AIO_Evergreen - 004MULTI - 005US - 006SavvyTraveler - 007DEMO - 00860s - 009MAI - 010V2 - 011MULTI - 012ENG - 013AAT - wl</x:v>
      </x:c>
      <x:c r="B107" t="str">
        <x:v>test - video/static - wl</x:v>
      </x:c>
      <x:c r="C107" t="str">
        <x:v>Nobl</x:v>
      </x:c>
      <x:c r="D107" t="str">
        <x:v>Creator / Whitelist</x:v>
      </x:c>
      <x:c r="E107" t="n">
        <x:v>1</x:v>
      </x:c>
      <x:c r="F107" t="n">
        <x:v>0</x:v>
      </x:c>
      <x:c r="G107" t="n">
        <x:v>1</x:v>
      </x:c>
      <x:c r="H107" t="n">
        <x:v>0</x:v>
      </x:c>
      <x:c r="I107" t="n">
        <x:v>0</x:v>
      </x:c>
      <x:c r="J107" t="n">
        <x:v>0</x:v>
      </x:c>
    </x:row>
    <x:row r="108">
      <x:c r="A108" t="str">
        <x:v>042026_InfluencerWeekenderSarahLaurenTOF1_v1_WEEKBOGO_Evergreen_WL - 001NYS - 002TC - 000WEEK - 004MULTI - 005US - 006SavvyTraveler - 007DEMO - 00840s - 009FRE - 010V1C - 011MULTI - 012ENG - 013AAK</x:v>
      </x:c>
      <x:c r="B108" t="str">
        <x:v>test - video/static - wl</x:v>
      </x:c>
      <x:c r="C108" t="str">
        <x:v>Nobl</x:v>
      </x:c>
      <x:c r="D108" t="str">
        <x:v>Creator / Whitelist</x:v>
      </x:c>
      <x:c r="E108" t="n">
        <x:v>1</x:v>
      </x:c>
      <x:c r="F108" t="n">
        <x:v>0</x:v>
      </x:c>
      <x:c r="G108" t="n">
        <x:v>0</x:v>
      </x:c>
      <x:c r="H108" t="n">
        <x:v>1</x:v>
      </x:c>
      <x:c r="I108" t="n">
        <x:v>0</x:v>
      </x:c>
      <x:c r="J108" t="n">
        <x:v>0</x:v>
      </x:c>
    </x:row>
    <x:row r="109">
      <x:c r="A109" t="str">
        <x:v>[W] 010526_BundleQuickCutsEvergreen2BOF1_V1_AIO_Evergreen - 001NYS - 002TC - 000MULTI - 003010526_BundleQuickCutsEvergreen2BOF1_V1_AIO_Evergreen - 004MULTI - 005SA - 006SavvyTraveler - 007MON - 00830s - 009MULTI - 010V1 - 011MULTI - 012ENG - 013AAC</x:v>
      </x:c>
      <x:c r="B109" t="str">
        <x:v>test - video - all</x:v>
      </x:c>
      <x:c r="C109" t="str">
        <x:v>Nobl</x:v>
      </x:c>
      <x:c r="D109" t="str">
        <x:v>Brand page</x:v>
      </x:c>
      <x:c r="E109" t="n">
        <x:v>1</x:v>
      </x:c>
      <x:c r="F109" t="n">
        <x:v>0</x:v>
      </x:c>
      <x:c r="G109" t="n">
        <x:v>0</x:v>
      </x:c>
      <x:c r="H109" t="n">
        <x:v>1</x:v>
      </x:c>
      <x:c r="I109" t="n">
        <x:v>0</x:v>
      </x:c>
      <x:c r="J109" t="n">
        <x:v>0</x:v>
      </x:c>
    </x:row>
    <x:row r="110">
      <x:c r="A110" t="str">
        <x:v>031626_BetterThanDesignerTOF1_v1_WEEKBOGO_Evergreen - 001NYS - 002TC - 000WEEKBOGO - 003031626_BetterThanDesignerTOF1_v1_WEEK_Evergreen - 004SIL - 005US - OTHERS - 007DEMO - 00860s - 009FAI - 010V2 - 011AWO - 012ENG - 013AAK</x:v>
      </x:c>
      <x:c r="B110" t="str">
        <x:v>usa - tof - abo - (WEEK + EXP + DUO)</x:v>
      </x:c>
      <x:c r="C110" t="str">
        <x:v>Nobl</x:v>
      </x:c>
      <x:c r="D110" t="str">
        <x:v>Brand page</x:v>
      </x:c>
      <x:c r="E110" t="n">
        <x:v>1</x:v>
      </x:c>
      <x:c r="F110" t="n">
        <x:v>1</x:v>
      </x:c>
      <x:c r="G110" t="n">
        <x:v>0</x:v>
      </x:c>
      <x:c r="H110" t="n">
        <x:v>0</x:v>
      </x:c>
      <x:c r="I110" t="n">
        <x:v>0</x:v>
      </x:c>
      <x:c r="J110" t="n">
        <x:v>0</x:v>
      </x:c>
    </x:row>
    <x:row r="111">
      <x:c r="A111" t="str">
        <x:v>061526_C189_5Urgency_MAIN_Evergreen - 001NYS - 002CA - 000MAIN - 004MULTI - 005US - 006ValueDriven - 007VO - 00820s - 009FAI - 010V3 - 011YAWO</x:v>
      </x:c>
      <x:c r="B111" t="str">
        <x:v>usa - tof - portable</x:v>
      </x:c>
      <x:c r="C111" t="str">
        <x:v>Flo</x:v>
      </x:c>
      <x:c r="D111" t="str">
        <x:v>Brand page</x:v>
      </x:c>
      <x:c r="E111" t="n">
        <x:v>1</x:v>
      </x:c>
      <x:c r="F111" t="n">
        <x:v>1</x:v>
      </x:c>
      <x:c r="G111" t="n">
        <x:v>0</x:v>
      </x:c>
      <x:c r="H111" t="n">
        <x:v>0</x:v>
      </x:c>
      <x:c r="I111" t="n">
        <x:v>0</x:v>
      </x:c>
      <x:c r="J111" t="n">
        <x:v>0</x:v>
      </x:c>
    </x:row>
    <x:row r="112">
      <x:c r="A112" t="str">
        <x:v>062226_JJ-0495v4_WhenDidCarryonsTramLe_TOF_Vid_BJ14v1_000AIO_Evergreen_LP001_001NYS_002FA_003NGC_006SP005_007IVY_008IVY_009B_010B_011M1S0_013F1S_014USA_015AAT</x:v>
      </x:c>
      <x:c r="B112" t="str">
        <x:v>test - video - all</x:v>
      </x:c>
      <x:c r="C112" t="str">
        <x:v>Nobl</x:v>
      </x:c>
      <x:c r="D112" t="str">
        <x:v>Brand page</x:v>
      </x:c>
      <x:c r="E112" t="n">
        <x:v>1</x:v>
      </x:c>
      <x:c r="F112" t="n">
        <x:v>0</x:v>
      </x:c>
      <x:c r="G112" t="n">
        <x:v>0</x:v>
      </x:c>
      <x:c r="H112" t="n">
        <x:v>0</x:v>
      </x:c>
      <x:c r="I112" t="n">
        <x:v>1</x:v>
      </x:c>
      <x:c r="J112" t="n">
        <x:v>0</x:v>
      </x:c>
    </x:row>
    <x:row r="113">
      <x:c r="A113" t="str">
        <x:v>052526_J0328v3_NoblAirAngelinaBrower_TOF_Vid_000AIR_Evergreen_LP00W_001NYS_002LK_003UGC_005B2_007NA_008BGY_009A_010A_011M0S47_013F2W_014USA_015AAU</x:v>
      </x:c>
      <x:c r="B113" t="str">
        <x:v>usa - tof/bof - air</x:v>
      </x:c>
      <x:c r="C113" t="str">
        <x:v>Nobl</x:v>
      </x:c>
      <x:c r="D113" t="str">
        <x:v>Brand page</x:v>
      </x:c>
      <x:c r="E113" t="n">
        <x:v>1</x:v>
      </x:c>
      <x:c r="F113" t="n">
        <x:v>0</x:v>
      </x:c>
      <x:c r="G113" t="n">
        <x:v>1</x:v>
      </x:c>
      <x:c r="H113" t="n">
        <x:v>0</x:v>
      </x:c>
      <x:c r="I113" t="n">
        <x:v>0</x:v>
      </x:c>
      <x:c r="J113" t="n">
        <x:v>0</x:v>
      </x:c>
    </x:row>
    <x:row r="114">
      <x:c r="A114" t="str">
        <x:v>061526_J0450v2_Air+CreatorMatthew_TOF_Vid_000AIO_Evergreen_LP001_001NYS_002LK_003NGC_005D2_006SP005_007SIL_008SIL_009E_010E_011M1S00_013M2W_014USA_015AAT</x:v>
      </x:c>
      <x:c r="B114" t="str">
        <x:v>test - video - all</x:v>
      </x:c>
      <x:c r="C114" t="str">
        <x:v>Nobl</x:v>
      </x:c>
      <x:c r="D114" t="str">
        <x:v>Brand page</x:v>
      </x:c>
      <x:c r="E114" t="n">
        <x:v>1</x:v>
      </x:c>
      <x:c r="F114" t="n">
        <x:v>0</x:v>
      </x:c>
      <x:c r="G114" t="n">
        <x:v>1</x:v>
      </x:c>
      <x:c r="H114" t="n">
        <x:v>0</x:v>
      </x:c>
      <x:c r="I114" t="n">
        <x:v>0</x:v>
      </x:c>
      <x:c r="J114" t="n">
        <x:v>0</x:v>
      </x:c>
    </x:row>
    <x:row r="115">
      <x:c r="A115" t="str">
        <x:v>060826_C182_SuperAffiliateB3FullScriptsFaviolaHerrera_MAIN_Evergreen - 001NYS - 002CA - 000MAIN - 004BLK - 005US - 006HealthSeeker - 007DEMO - 008MULTI - 009FRE - 010V2 - 011AWO</x:v>
      </x:c>
      <x:c r="B115" t="str">
        <x:v>test - video - wl</x:v>
      </x:c>
      <x:c r="C115" t="str">
        <x:v>Flo</x:v>
      </x:c>
      <x:c r="D115" t="str">
        <x:v>Creator / Whitelist</x:v>
      </x:c>
      <x:c r="E115" t="n">
        <x:v>1</x:v>
      </x:c>
      <x:c r="F115" t="n">
        <x:v>0</x:v>
      </x:c>
      <x:c r="G115" t="n">
        <x:v>0</x:v>
      </x:c>
      <x:c r="H115" t="n">
        <x:v>1</x:v>
      </x:c>
      <x:c r="I115" t="n">
        <x:v>0</x:v>
      </x:c>
      <x:c r="J115" t="n">
        <x:v>0</x:v>
      </x:c>
    </x:row>
    <x:row r="116">
      <x:c r="A116" t="str">
        <x:v>050426_J0212v3_ ItsthenoblduoShelbyMorisseau_TOF_Vid_B49v1_000NDB_Evergreen_LP007_001NYS_002TC_003UGC_005A9_007IVY_008MULTI_009B_010B_011MS058_013F2W_014USA_015AAE</x:v>
      </x:c>
      <x:c r="B116" t="str">
        <x:v>test - video - all</x:v>
      </x:c>
      <x:c r="C116" t="str">
        <x:v>Nobl</x:v>
      </x:c>
      <x:c r="D116" t="str">
        <x:v>Brand page</x:v>
      </x:c>
      <x:c r="E116" t="n">
        <x:v>1</x:v>
      </x:c>
      <x:c r="F116" t="n">
        <x:v>1</x:v>
      </x:c>
      <x:c r="G116" t="n">
        <x:v>0</x:v>
      </x:c>
      <x:c r="H116" t="n">
        <x:v>0</x:v>
      </x:c>
      <x:c r="I116" t="n">
        <x:v>0</x:v>
      </x:c>
      <x:c r="J116" t="n">
        <x:v>0</x:v>
      </x:c>
    </x:row>
    <x:row r="117">
      <x:c r="A117" t="str">
        <x:v>110305_RegretTOF1_v1_AIO_Evergreen - 001NYS - 002TC - 003110305_RegretTOF1_v1_AIO_Evergreen - 004BBL - 005US - 006SavvyTraveler - 007DEMO - 00830s - 009FAI - 010V4 - 011YAWO - 012ENG</x:v>
      </x:c>
      <x:c r="B117" t="str">
        <x:v>[n] usa - tof - all</x:v>
      </x:c>
      <x:c r="C117" t="str">
        <x:v>Nobl</x:v>
      </x:c>
      <x:c r="D117" t="str">
        <x:v>Brand page</x:v>
      </x:c>
      <x:c r="E117" t="n">
        <x:v>1</x:v>
      </x:c>
      <x:c r="F117" t="n">
        <x:v>0</x:v>
      </x:c>
      <x:c r="G117" t="n">
        <x:v>0</x:v>
      </x:c>
      <x:c r="H117" t="n">
        <x:v>1</x:v>
      </x:c>
      <x:c r="I117" t="n">
        <x:v>0</x:v>
      </x:c>
      <x:c r="J117" t="n">
        <x:v>0</x:v>
      </x:c>
    </x:row>
    <x:row r="118">
      <x:c r="A118" t="str">
        <x:v>060826_C182_SuperAffiliateB3HeadlinesArielDonatelli_MAIN_Evergreen - 001NYS - 002CA - 000MAIN - 004BLK - 005US - 006HealthSeeker - 007DEMO - 008MULTI - 009FRE - 010V1 - 011AWO</x:v>
      </x:c>
      <x:c r="B118" t="str">
        <x:v>test - video - wl</x:v>
      </x:c>
      <x:c r="C118" t="str">
        <x:v>Flo</x:v>
      </x:c>
      <x:c r="D118" t="str">
        <x:v>Creator / Whitelist</x:v>
      </x:c>
      <x:c r="E118" t="n">
        <x:v>1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1</x:v>
      </x:c>
    </x:row>
    <x:row r="119">
      <x:c r="A119" t="str">
        <x:v>Script 3 - Image 1</x:v>
      </x:c>
      <x:c r="B119" t="str">
        <x:v>test - static - all</x:v>
      </x:c>
      <x:c r="C119" t="str">
        <x:v>Nobl</x:v>
      </x:c>
      <x:c r="D119" t="str">
        <x:v>Brand page</x:v>
      </x:c>
      <x:c r="E119" t="n">
        <x:v>1</x:v>
      </x:c>
      <x:c r="F119" t="n">
        <x:v>1</x:v>
      </x:c>
      <x:c r="G119" t="n">
        <x:v>0</x:v>
      </x:c>
      <x:c r="H119" t="n">
        <x:v>0</x:v>
      </x:c>
      <x:c r="I119" t="n">
        <x:v>0</x:v>
      </x:c>
      <x:c r="J119" t="n">
        <x:v>0</x:v>
      </x:c>
    </x:row>
    <x:row r="120">
      <x:c r="A120" t="str">
        <x:v>050426_J-0226v2_WhenDidCarryOnsVanessaVanmus_TOF_Vid_000AIO_Evergreen_LP001_001NYS_002FA_003NGC_005D1_006SP005_007BYL_008BYL_009A_010A_011M1S11_013F1W_014USA_015AAA</x:v>
      </x:c>
      <x:c r="B120" t="str">
        <x:v>test - video - all</x:v>
      </x:c>
      <x:c r="C120" t="str">
        <x:v>Nobl</x:v>
      </x:c>
      <x:c r="D120" t="str">
        <x:v>Brand page</x:v>
      </x:c>
      <x:c r="E120" t="n">
        <x:v>1</x:v>
      </x:c>
      <x:c r="F120" t="n">
        <x:v>0</x:v>
      </x:c>
      <x:c r="G120" t="n">
        <x:v>0</x:v>
      </x:c>
      <x:c r="H120" t="n">
        <x:v>1</x:v>
      </x:c>
      <x:c r="I120" t="n">
        <x:v>0</x:v>
      </x:c>
      <x:c r="J120" t="n">
        <x:v>0</x:v>
      </x:c>
    </x:row>
    <x:row r="121">
      <x:c r="A121" t="str">
        <x:v>060826_J-0408v2_SomeoneAskedMe_TOF_Vid_000AIO_Evergreen_LP001_001NYS_002FA_003NGC_005E2_007FGN_008FGN_009A_010A_011M1S25_013M1B_014USA_015AAB</x:v>
      </x:c>
      <x:c r="B121" t="str">
        <x:v>test - video - all</x:v>
      </x:c>
      <x:c r="C121" t="str">
        <x:v>Nobl</x:v>
      </x:c>
      <x:c r="D121" t="str">
        <x:v>Brand page</x:v>
      </x:c>
      <x:c r="E121" t="n">
        <x:v>1</x:v>
      </x:c>
      <x:c r="F121" t="n">
        <x:v>0</x:v>
      </x:c>
      <x:c r="G121" t="n">
        <x:v>1</x:v>
      </x:c>
      <x:c r="H121" t="n">
        <x:v>0</x:v>
      </x:c>
      <x:c r="I121" t="n">
        <x:v>0</x:v>
      </x:c>
      <x:c r="J121" t="n">
        <x:v>0</x:v>
      </x:c>
    </x:row>
    <x:row r="122">
      <x:c r="A122" t="str">
        <x:v>061526_JJ-0475v1_GotThisInstead_TOF_Vid_000AIO_Evergreen_LP001_001NYS_002FA_003NGC_005B4_007NA_008CRD_009B_010B_011M0S39_013M2W_014USA_015AAT</x:v>
      </x:c>
      <x:c r="B122" t="str">
        <x:v>test - video - all</x:v>
      </x:c>
      <x:c r="C122" t="str">
        <x:v>Nobl</x:v>
      </x:c>
      <x:c r="D122" t="str">
        <x:v>Brand page</x:v>
      </x:c>
      <x:c r="E122" t="n">
        <x:v>1</x:v>
      </x:c>
      <x:c r="F122" t="n">
        <x:v>0</x:v>
      </x:c>
      <x:c r="G122" t="n">
        <x:v>0</x:v>
      </x:c>
      <x:c r="H122" t="n">
        <x:v>0</x:v>
      </x:c>
      <x:c r="I122" t="n">
        <x:v>1</x:v>
      </x:c>
      <x:c r="J122" t="n">
        <x:v>0</x:v>
      </x:c>
    </x:row>
    <x:row r="123">
      <x:c r="A123" t="str">
        <x:v>122225_WhenDidCarry-onsTOF1_v1_AIO_Evergreen - 001NYS - 002FA - 000AIO - 003122225_WhenDidCarry-onsTOF1_v1_AIO_Evergreen - 004MULTI - 005US - 006MaleTravelerRegularDad - 007DEMO - 00860s - 009MAI - 010V3 - 011AMA - 012ENG</x:v>
      </x:c>
      <x:c r="B123" t="str">
        <x:v>[n] usa - tof - all</x:v>
      </x:c>
      <x:c r="C123" t="str">
        <x:v>Nobl</x:v>
      </x:c>
      <x:c r="D123" t="str">
        <x:v>Brand page</x:v>
      </x:c>
      <x:c r="E123" t="n">
        <x:v>1</x:v>
      </x:c>
      <x:c r="F123" t="n">
        <x:v>1</x:v>
      </x:c>
      <x:c r="G123" t="n">
        <x:v>0</x:v>
      </x:c>
      <x:c r="H123" t="n">
        <x:v>0</x:v>
      </x:c>
      <x:c r="I123" t="n">
        <x:v>0</x:v>
      </x:c>
      <x:c r="J123" t="n">
        <x:v>0</x:v>
      </x:c>
    </x:row>
    <x:row r="124">
      <x:c r="A124" t="str">
        <x:v>Organic · @nobltravel</x:v>
      </x:c>
      <x:c r="B124" t="str">
        <x:v>Organic</x:v>
      </x:c>
      <x:c r="C124" t="str">
        <x:v>Nobl</x:v>
      </x:c>
      <x:c r="D124" t="str">
        <x:v>Organic</x:v>
      </x:c>
      <x:c r="E124" t="n">
        <x:v>1</x:v>
      </x:c>
      <x:c r="F124" t="n">
        <x:v>0</x:v>
      </x:c>
      <x:c r="G124" t="n">
        <x:v>1</x:v>
      </x:c>
      <x:c r="H124" t="n">
        <x:v>0</x:v>
      </x:c>
      <x:c r="I124" t="n">
        <x:v>0</x:v>
      </x:c>
      <x:c r="J124" t="n">
        <x:v>0</x:v>
      </x:c>
    </x:row>
    <x:row r="125">
      <x:c r="A125" t="str">
        <x:v>020926_InstructorPOVTOF1_V1_MAIN_Evergreen - 001NYS - 002CA - 000MAIN - 003020926_InstructorPOVTOF1_V1_MAIN_Evergreen - 004LAV - 005US - 006DrivenAthlete - 007DEMO - 008MULTI - 009FAI - 010V1 - 011YAWO - 012ENG - 013AAC</x:v>
      </x:c>
      <x:c r="B125" t="str">
        <x:v>usa - tof - portable</x:v>
      </x:c>
      <x:c r="C125" t="str">
        <x:v>Flo</x:v>
      </x:c>
      <x:c r="D125" t="str">
        <x:v>Brand page</x:v>
      </x:c>
      <x:c r="E125" t="n">
        <x:v>1</x:v>
      </x:c>
      <x:c r="F125" t="n">
        <x:v>0</x:v>
      </x:c>
      <x:c r="G125" t="n">
        <x:v>0</x:v>
      </x:c>
      <x:c r="H125" t="n">
        <x:v>1</x:v>
      </x:c>
      <x:c r="I125" t="n">
        <x:v>0</x:v>
      </x:c>
      <x:c r="J125" t="n">
        <x:v>0</x:v>
      </x:c>
    </x:row>
    <x:row r="126">
      <x:c r="A126" t="str">
        <x:v>022326_NoblAirShortUGCmaleTOF1_v1_Air_Evergreen - 001NYS - 002TC - 000AIR - 003022326_NoblAirShortUGCmaleTOF1_v1_Air_Evergreen - 004WHT - 005SA - 006⁠FunctionalTraveler - 007VO - 00815s - 009MAI - 010V1A - 011YAMA - 012ENG - 013AAU</x:v>
      </x:c>
      <x:c r="B126" t="str">
        <x:v>usa - tof/bof - air</x:v>
      </x:c>
      <x:c r="C126" t="str">
        <x:v>Nobl</x:v>
      </x:c>
      <x:c r="D126" t="str">
        <x:v>Brand page</x:v>
      </x:c>
      <x:c r="E126" t="n">
        <x:v>1</x:v>
      </x:c>
      <x:c r="F126" t="n">
        <x:v>0</x:v>
      </x:c>
      <x:c r="G126" t="n">
        <x:v>0</x:v>
      </x:c>
      <x:c r="H126" t="n">
        <x:v>0</x:v>
      </x:c>
      <x:c r="I126" t="n">
        <x:v>1</x:v>
      </x:c>
      <x:c r="J126" t="n">
        <x:v>0</x:v>
      </x:c>
    </x:row>
    <x:row r="127">
      <x:c r="A127" t="str">
        <x:v>050426_J-0226v2_WhenDidCarryOnsVanessaVanmus_TOF_Vid_000AIO_Evergreen_LP001_001NYS_002FA_003NGC_005D1_006SP005_007BYL_008BYL_009A_010A_011M1S11_013F1W_014USA_015AAA</x:v>
      </x:c>
      <x:c r="B127" t="str">
        <x:v>blackcrow - usa - tof - all</x:v>
      </x:c>
      <x:c r="C127" t="str">
        <x:v>Nobl</x:v>
      </x:c>
      <x:c r="D127" t="str">
        <x:v>Brand page</x:v>
      </x:c>
      <x:c r="E127" t="n">
        <x:v>1</x:v>
      </x:c>
      <x:c r="F127" t="n">
        <x:v>1</x:v>
      </x:c>
      <x:c r="G127" t="n">
        <x:v>0</x:v>
      </x:c>
      <x:c r="H127" t="n">
        <x:v>0</x:v>
      </x:c>
      <x:c r="I127" t="n">
        <x:v>0</x:v>
      </x:c>
      <x:c r="J127" t="n">
        <x:v>0</x:v>
      </x:c>
    </x:row>
    <x:row r="128">
      <x:c r="A128" t="str">
        <x:v>051826_J0302v1_CanadaLivesUpToTheHypeAngeleneSusanna_TOF_Vid_BB7v1_000AIO_Evergreen_WL_LP001_001NYS_002TC_003NGC_005L2_006SP004_007SGE_008SGE_009B_010B_011M0S46_013F1E_014CAN_015AAA</x:v>
      </x:c>
      <x:c r="B128" t="str">
        <x:v>can - tof - all</x:v>
      </x:c>
      <x:c r="C128" t="str">
        <x:v>Nobl</x:v>
      </x:c>
      <x:c r="D128" t="str">
        <x:v>Brand page</x:v>
      </x:c>
      <x:c r="E128" t="n">
        <x:v>1</x:v>
      </x:c>
      <x:c r="F128" t="n">
        <x:v>0</x:v>
      </x:c>
      <x:c r="G128" t="n">
        <x:v>0</x:v>
      </x:c>
      <x:c r="H128" t="n">
        <x:v>1</x:v>
      </x:c>
      <x:c r="I128" t="n">
        <x:v>0</x:v>
      </x:c>
      <x:c r="J128" t="n">
        <x:v>0</x:v>
      </x:c>
    </x:row>
    <x:row r="129">
      <x:c r="A129" t="str">
        <x:v>062226_JJ-0503v2_ReasonsShortTramLe_TOF_Vid_BJ148v1_000AIO_Evergreen_LP001_001NYS_002FA_003NGC_005F2_006SP009_007IVY_008IVY_009C_010C_011M0S34_013F2W_014USA_015AAA</x:v>
      </x:c>
      <x:c r="B129" t="str">
        <x:v>test - video - all</x:v>
      </x:c>
      <x:c r="C129" t="str">
        <x:v>Nobl</x:v>
      </x:c>
      <x:c r="D129" t="str">
        <x:v>Brand page</x:v>
      </x:c>
      <x:c r="E129" t="n">
        <x:v>1</x:v>
      </x:c>
      <x:c r="F129" t="n">
        <x:v>1</x:v>
      </x:c>
      <x:c r="G129" t="n">
        <x:v>0</x:v>
      </x:c>
      <x:c r="H129" t="n">
        <x:v>0</x:v>
      </x:c>
      <x:c r="I129" t="n">
        <x:v>0</x:v>
      </x:c>
      <x:c r="J129" t="n">
        <x:v>0</x:v>
      </x:c>
    </x:row>
    <x:row r="130">
      <x:c r="A130" t="str">
        <x:v>J11v1_101325_ RidgeStyleDurabilityTOF1_V1_AIO_Evergreen - 001NYS - 002FA - 003Ridge-Style Durability Carry-On - 004SIL - OTHER - 006SavvyTraveler - 007VO - 00860s - 009FAI - 010V3 - 011YAWO - 012ENG - Mauro - wl</x:v>
      </x:c>
      <x:c r="B130" t="str">
        <x:v>usa - tof - all</x:v>
      </x:c>
      <x:c r="C130" t="str">
        <x:v>Nobl</x:v>
      </x:c>
      <x:c r="D130" t="str">
        <x:v>Creator / Whitelist</x:v>
      </x:c>
      <x:c r="E130" t="n">
        <x:v>1</x:v>
      </x:c>
      <x:c r="F130" t="n">
        <x:v>0</x:v>
      </x:c>
      <x:c r="G130" t="n">
        <x:v>0</x:v>
      </x:c>
      <x:c r="H130" t="n">
        <x:v>1</x:v>
      </x:c>
      <x:c r="I130" t="n">
        <x:v>0</x:v>
      </x:c>
      <x:c r="J130" t="n">
        <x:v>0</x:v>
      </x:c>
    </x:row>
    <x:row r="131">
      <x:c r="A131" t="str">
        <x:v>050426_J0263v2_InfluencerBundleSummerTravelChisannah_BOF_Vid_000EBUN_Evergreen_WL_LP003_001NYS_002TC_003NGC_005L1_007SIL_008SIL_009F_010F_011M0S24_013F2B_014CAN_015AAC</x:v>
      </x:c>
      <x:c r="B131" t="str">
        <x:v>test - video/static - wl</x:v>
      </x:c>
      <x:c r="C131" t="str">
        <x:v>Nobl</x:v>
      </x:c>
      <x:c r="D131" t="str">
        <x:v>Creator / Whitelist</x:v>
      </x:c>
      <x:c r="E131" t="n">
        <x:v>1</x:v>
      </x:c>
      <x:c r="F131" t="n">
        <x:v>0</x:v>
      </x:c>
      <x:c r="G131" t="n">
        <x:v>0</x:v>
      </x:c>
      <x:c r="H131" t="n">
        <x:v>0</x:v>
      </x:c>
      <x:c r="I131" t="n">
        <x:v>1</x:v>
      </x:c>
      <x:c r="J131" t="n">
        <x:v>0</x:v>
      </x:c>
    </x:row>
    <x:row r="132">
      <x:c r="A132" t="str">
        <x:v>062926_J0529v5_ManOnStreetAdsAgency_TOF_Vid_000AIO_Evergreen_LP001_001M305_002LK_003SIN_005J1_007SIL_008SIL_009E_010E_011M1S0_013MULTI_014USA_015AAT</x:v>
      </x:c>
      <x:c r="B132" t="str">
        <x:v>test - video - all</x:v>
      </x:c>
      <x:c r="C132" t="str">
        <x:v>Nobl</x:v>
      </x:c>
      <x:c r="D132" t="str">
        <x:v>Brand page</x:v>
      </x:c>
      <x:c r="E132" t="n">
        <x:v>1</x:v>
      </x:c>
      <x:c r="F132" t="n">
        <x:v>1</x:v>
      </x:c>
      <x:c r="G132" t="n">
        <x:v>0</x:v>
      </x:c>
      <x:c r="H132" t="n">
        <x:v>0</x:v>
      </x:c>
      <x:c r="I132" t="n">
        <x:v>0</x:v>
      </x:c>
      <x:c r="J132" t="n">
        <x:v>0</x:v>
      </x:c>
    </x:row>
    <x:row r="133">
      <x:c r="A133" t="str">
        <x:v>042726_J0006v3_AndrewBundle_BOF_Vid_000EBUN_Evergreen_WL_LP003_001NYS_002TC_003GRN_005D3_007MULTI_008MULTI_009B_010B_011M0S22_013M3W_014USA_015ACQ</x:v>
      </x:c>
      <x:c r="B133" t="str">
        <x:v>test - video/static - wl</x:v>
      </x:c>
      <x:c r="C133" t="str">
        <x:v>Nobl</x:v>
      </x:c>
      <x:c r="D133" t="str">
        <x:v>Creator / Whitelist</x:v>
      </x:c>
      <x:c r="E133" t="n">
        <x:v>1</x:v>
      </x:c>
      <x:c r="F133" t="n">
        <x:v>0</x:v>
      </x:c>
      <x:c r="G133" t="n">
        <x:v>0</x:v>
      </x:c>
      <x:c r="H133" t="n">
        <x:v>1</x:v>
      </x:c>
      <x:c r="I133" t="n">
        <x:v>0</x:v>
      </x:c>
      <x:c r="J133" t="n">
        <x:v>0</x:v>
      </x:c>
    </x:row>
    <x:row r="134">
      <x:c r="A134" t="str">
        <x:v>050426_JJ-0146v3_LivesUpToTheHypeYuriiTkachuk_TOF_Vid_000AIO_Evergreen_LP001_001NYS_002FA_003NGC_005D3_006SP004_007CRD_008CRD_009A_010A_011M0S48_013M2W_014USA_015AAB</x:v>
      </x:c>
      <x:c r="B134" t="str">
        <x:v>usa - tof - all</x:v>
      </x:c>
      <x:c r="C134" t="str">
        <x:v>Nobl</x:v>
      </x:c>
      <x:c r="D134" t="str">
        <x:v>Brand page</x:v>
      </x:c>
      <x:c r="E134" t="n">
        <x:v>1</x:v>
      </x:c>
      <x:c r="F134" t="n">
        <x:v>0</x:v>
      </x:c>
      <x:c r="G134" t="n">
        <x:v>0</x:v>
      </x:c>
      <x:c r="H134" t="n">
        <x:v>0</x:v>
      </x:c>
      <x:c r="I134" t="n">
        <x:v>1</x:v>
      </x:c>
      <x:c r="J134" t="n">
        <x:v>0</x:v>
      </x:c>
    </x:row>
    <x:row r="135">
      <x:c r="A135" t="str">
        <x:v>112425_DurableSuitcaseMaleVOTOF1_V1_AIO_Evergreen - 001NYS - 002LK - 000AIO - 003112425_DurableSuitcaseMaleVOTOF1_V1_AIO_Evergreen - 004MULTI - 005US - 006SavvyTraveler - 007VO - 00840s - 009MULTI - 010V2 - 011YAWO - 012ENG</x:v>
      </x:c>
      <x:c r="B135" t="str">
        <x:v>usa - tof/mof - all</x:v>
      </x:c>
      <x:c r="C135" t="str">
        <x:v>Nobl</x:v>
      </x:c>
      <x:c r="D135" t="str">
        <x:v>Brand page</x:v>
      </x:c>
      <x:c r="E135" t="n">
        <x:v>1</x:v>
      </x:c>
      <x:c r="F135" t="n">
        <x:v>0</x:v>
      </x:c>
      <x:c r="G135" t="n">
        <x:v>0</x:v>
      </x:c>
      <x:c r="H135" t="n">
        <x:v>0</x:v>
      </x:c>
      <x:c r="I135" t="n">
        <x:v>1</x:v>
      </x:c>
      <x:c r="J135" t="n">
        <x:v>0</x:v>
      </x:c>
    </x:row>
    <x:row r="136">
      <x:c r="A136" t="str">
        <x:v>120125_K26_HolidayGivingTOF1_v1_MAIN_Evergreen - 001NYS - 002KW - 000MAIN - 003120125_K26_HolidayGivingTOF1_v1_MAIN_Evergreen - 004MULTI - 005US - 006DrivenAthlete - 007DEMO - 00850s - 009FAI - 010V1 - 011YAWO - 012ENG</x:v>
      </x:c>
      <x:c r="B136" t="str">
        <x:v>usa - tof - portable</x:v>
      </x:c>
      <x:c r="C136" t="str">
        <x:v>Flo</x:v>
      </x:c>
      <x:c r="D136" t="str">
        <x:v>Brand page</x:v>
      </x:c>
      <x:c r="E136" t="n">
        <x:v>1</x:v>
      </x:c>
      <x:c r="F136" t="n">
        <x:v>0</x:v>
      </x:c>
      <x:c r="G136" t="n">
        <x:v>1</x:v>
      </x:c>
      <x:c r="H136" t="n">
        <x:v>0</x:v>
      </x:c>
      <x:c r="I136" t="n">
        <x:v>0</x:v>
      </x:c>
      <x:c r="J136" t="n">
        <x:v>0</x:v>
      </x:c>
    </x:row>
    <x:row r="137">
      <x:c r="A137" t="str">
        <x:v>011226_SavItsTheWeekenderTOF1_v1_WEEKBogo_Evergreen - 001NYS - 002TC - 000WEEK - 003011226_SavItsTheWeekenderTOF1_v1_WEEKBogo_Evergreen - 004GRN - 005US - 006SavvyTraveler - 007DEMO - 00830s - 009FAI - 010V3 - 011YAWO - 012ENG - 013AAI</x:v>
      </x:c>
      <x:c r="B137" t="str">
        <x:v>usa - tof - abo - (WEEK + EXP + DUO)</x:v>
      </x:c>
      <x:c r="C137" t="str">
        <x:v>Nobl</x:v>
      </x:c>
      <x:c r="D137" t="str">
        <x:v>Brand page</x:v>
      </x:c>
      <x:c r="E137" t="n">
        <x:v>1</x:v>
      </x:c>
      <x:c r="F137" t="n">
        <x:v>0</x:v>
      </x:c>
      <x:c r="G137" t="n">
        <x:v>0</x:v>
      </x:c>
      <x:c r="H137" t="n">
        <x:v>1</x:v>
      </x:c>
      <x:c r="I137" t="n">
        <x:v>0</x:v>
      </x:c>
      <x:c r="J137" t="n">
        <x:v>0</x:v>
      </x:c>
    </x:row>
    <x:row r="138">
      <x:c r="A138" t="str">
        <x:v>060826_J-0419v1_MyExHusbandsGirlfriend_TOF_Vid_000AIO_Evergreen_LP001_001NYS_002FA_003UGC_005J2_007MNT_008MNT_009B_010B_011M8S37_013F4B_014USA_015AAT</x:v>
      </x:c>
      <x:c r="B138" t="str">
        <x:v>usa - tof/mof - all</x:v>
      </x:c>
      <x:c r="C138" t="str">
        <x:v>Nobl</x:v>
      </x:c>
      <x:c r="D138" t="str">
        <x:v>Brand page</x:v>
      </x:c>
      <x:c r="E138" t="n">
        <x:v>1</x:v>
      </x:c>
      <x:c r="F138" t="n">
        <x:v>0</x:v>
      </x:c>
      <x:c r="G138" t="n">
        <x:v>0</x:v>
      </x:c>
      <x:c r="H138" t="n">
        <x:v>0</x:v>
      </x:c>
      <x:c r="I138" t="n">
        <x:v>1</x:v>
      </x:c>
      <x:c r="J138" t="n">
        <x:v>0</x:v>
      </x:c>
    </x:row>
    <x:row r="139">
      <x:c r="A139" t="str">
        <x:v>061526_J0470v4_InfluencerMeganVegaBirthdaySuitcase_Vid_BJ6v1_000AIO_Evergreen_WL_LP001_001NYS_002TC_003UGC_005D3_006GF001_007SIL_008SIL_009B_010B_011M0S50_013F2W_014USA_015AAT</x:v>
      </x:c>
      <x:c r="B139" t="str">
        <x:v>test - video - all</x:v>
      </x:c>
      <x:c r="C139" t="str">
        <x:v>Nobl</x:v>
      </x:c>
      <x:c r="D139" t="str">
        <x:v>Brand page</x:v>
      </x:c>
      <x:c r="E139" t="n">
        <x:v>1</x:v>
      </x:c>
      <x:c r="F139" t="n">
        <x:v>1</x:v>
      </x:c>
      <x:c r="G139" t="n">
        <x:v>0</x:v>
      </x:c>
      <x:c r="H139" t="n">
        <x:v>0</x:v>
      </x:c>
      <x:c r="I139" t="n">
        <x:v>0</x:v>
      </x:c>
      <x:c r="J139" t="n">
        <x:v>0</x:v>
      </x:c>
    </x:row>
    <x:row r="140">
      <x:c r="A140" t="str">
        <x:v>042026_GirlMathTOF1_V1_AIO_Evergreen - 001NYS - 002FA - 000AIO - 004MULTI - 005US - 006⁠FunctionalTraveler - 007DEMO - 008MULTI - 009MULTI - 010V4 - 011MULTI - 012ENG - 013ABT</x:v>
      </x:c>
      <x:c r="B140" t="str">
        <x:v>usa - tof - all</x:v>
      </x:c>
      <x:c r="C140" t="str">
        <x:v>Nobl</x:v>
      </x:c>
      <x:c r="D140" t="str">
        <x:v>Brand page</x:v>
      </x:c>
      <x:c r="E140" t="n">
        <x:v>1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1</x:v>
      </x:c>
    </x:row>
    <x:row r="141">
      <x:c r="A141" t="str">
        <x:v>Organic · @mauro.littera</x:v>
      </x:c>
      <x:c r="B141" t="str">
        <x:v>Organic</x:v>
      </x:c>
      <x:c r="C141" t="str">
        <x:v>Unattributed</x:v>
      </x:c>
      <x:c r="D141" t="str">
        <x:v>Creator / Whitelist</x:v>
      </x:c>
      <x:c r="E141" t="n">
        <x:v>1</x:v>
      </x:c>
      <x:c r="F141" t="n">
        <x:v>0</x:v>
      </x:c>
      <x:c r="G141" t="n">
        <x:v>0</x:v>
      </x:c>
      <x:c r="H141" t="n">
        <x:v>1</x:v>
      </x:c>
      <x:c r="I141" t="n">
        <x:v>0</x:v>
      </x:c>
      <x:c r="J141" t="n">
        <x:v>0</x:v>
      </x:c>
    </x:row>
    <x:row r="142">
      <x:c r="A142" t="str">
        <x:v>062226_J0499v2_UKAccentWinners2_TOF_Vid_000AIO_Evergreen_LP001_001NYS_002LK_003NGC_005E2_006GF002_007SIL_008SIL_009A_010A_011M0S26_013M2W_014UK_015AAB</x:v>
      </x:c>
      <x:c r="B142" t="str">
        <x:v>uk - tof - all</x:v>
      </x:c>
      <x:c r="C142" t="str">
        <x:v>Nobl</x:v>
      </x:c>
      <x:c r="D142" t="str">
        <x:v>Brand page</x:v>
      </x:c>
      <x:c r="E142" t="n">
        <x:v>1</x:v>
      </x:c>
      <x:c r="F142" t="n">
        <x:v>0</x:v>
      </x:c>
      <x:c r="G142" t="n">
        <x:v>0</x:v>
      </x:c>
      <x:c r="H142" t="n">
        <x:v>0</x:v>
      </x:c>
      <x:c r="I142" t="n">
        <x:v>1</x:v>
      </x:c>
      <x:c r="J142" t="n">
        <x:v>0</x:v>
      </x:c>
    </x:row>
    <x:row r="143">
      <x:c r="A143" t="str">
        <x:v>J11v1_101325_ RidgeStyleDurabilityTOF1_V1_AIO_Evergreen - 001NYS - 002FA - 003Ridge-Style Durability Carry-On - 004SIL - OTHER - 006SavvyTraveler - 007VO - 00860s - 009FAI - 010V3 - 011YAWO - 012ENG</x:v>
      </x:c>
      <x:c r="B143" t="str">
        <x:v>can - tof - all</x:v>
      </x:c>
      <x:c r="C143" t="str">
        <x:v>Nobl</x:v>
      </x:c>
      <x:c r="D143" t="str">
        <x:v>Brand page</x:v>
      </x:c>
      <x:c r="E143" t="n">
        <x:v>1</x:v>
      </x:c>
      <x:c r="F143" t="n">
        <x:v>1</x:v>
      </x:c>
      <x:c r="G143" t="n">
        <x:v>0</x:v>
      </x:c>
      <x:c r="H143" t="n">
        <x:v>0</x:v>
      </x:c>
      <x:c r="I143" t="n">
        <x:v>0</x:v>
      </x:c>
      <x:c r="J143" t="n">
        <x:v>0</x:v>
      </x:c>
    </x:row>
    <x:row r="144">
      <x:c r="A144" t="str">
        <x:v>060826_J0425v4_InfluencerMelissaMerkBundle_TOF_Vid_000EBUN_Evergreen_WL_LP003_001NYS_002TC_003UGC_005D1_006CR001_007SND_008SND_009A_010F_011M0S43_013F1W_014CAN_015AFI</x:v>
      </x:c>
      <x:c r="B144" t="str">
        <x:v>test - video/static - wl</x:v>
      </x:c>
      <x:c r="C144" t="str">
        <x:v>Nobl</x:v>
      </x:c>
      <x:c r="D144" t="str">
        <x:v>Creator / Whitelist</x:v>
      </x:c>
      <x:c r="E144" t="n">
        <x:v>1</x:v>
      </x:c>
      <x:c r="F144" t="n">
        <x:v>0</x:v>
      </x:c>
      <x:c r="G144" t="n">
        <x:v>1</x:v>
      </x:c>
      <x:c r="H144" t="n">
        <x:v>0</x:v>
      </x:c>
      <x:c r="I144" t="n">
        <x:v>0</x:v>
      </x:c>
      <x:c r="J144" t="n">
        <x:v>0</x:v>
      </x:c>
    </x:row>
    <x:row r="145">
      <x:c r="A145" t="str">
        <x:v>062226_J0504v2_Air+CreatorTiffanySalerno_TOF_Vid_000AIO_Evergreen_LP001_001NYS_002LK_003NGC_005F2_006SP001_007JBK_008IVY_009A_010A_011M1S35_013F2W_014USA_015AAT</x:v>
      </x:c>
      <x:c r="B145" t="str">
        <x:v>test - video - all</x:v>
      </x:c>
      <x:c r="C145" t="str">
        <x:v>Nobl</x:v>
      </x:c>
      <x:c r="D145" t="str">
        <x:v>Brand page</x:v>
      </x:c>
      <x:c r="E145" t="n">
        <x:v>1</x:v>
      </x:c>
      <x:c r="F145" t="n">
        <x:v>0</x:v>
      </x:c>
      <x:c r="G145" t="n">
        <x:v>0</x:v>
      </x:c>
      <x:c r="H145" t="n">
        <x:v>1</x:v>
      </x:c>
      <x:c r="I145" t="n">
        <x:v>0</x:v>
      </x:c>
      <x:c r="J145" t="n">
        <x:v>0</x:v>
      </x:c>
    </x:row>
    <x:row r="146">
      <x:c r="A146" t="str">
        <x:v>062926_J0519v4_KeepSeeingItWithoutAdsAIO+_Vid_000AIO_Evergreen_LP001_001NYS_002LK_003NGC_005F3_007MBL_008SIL_009A_010A_011M0S53_013M5W_014USA_015AAT</x:v>
      </x:c>
      <x:c r="B146" t="str">
        <x:v>test - video - all</x:v>
      </x:c>
      <x:c r="C146" t="str">
        <x:v>Nobl</x:v>
      </x:c>
      <x:c r="D146" t="str">
        <x:v>Brand page</x:v>
      </x:c>
      <x:c r="E146" t="n">
        <x:v>1</x:v>
      </x:c>
      <x:c r="F146" t="n">
        <x:v>0</x:v>
      </x:c>
      <x:c r="G146" t="n">
        <x:v>0</x:v>
      </x:c>
      <x:c r="H146" t="n">
        <x:v>1</x:v>
      </x:c>
      <x:c r="I146" t="n">
        <x:v>0</x:v>
      </x:c>
      <x:c r="J146" t="n">
        <x:v>0</x:v>
      </x:c>
    </x:row>
    <x:row r="147">
      <x:c r="A147" t="str">
        <x:v>Organic · @angelenees.ugc</x:v>
      </x:c>
      <x:c r="B147" t="str">
        <x:v>Organic</x:v>
      </x:c>
      <x:c r="C147" t="str">
        <x:v>Unattributed</x:v>
      </x:c>
      <x:c r="D147" t="str">
        <x:v>Creator / Whitelist</x:v>
      </x:c>
      <x:c r="E147" t="n">
        <x:v>1</x:v>
      </x:c>
      <x:c r="F147" t="n">
        <x:v>1</x:v>
      </x:c>
      <x:c r="G147" t="n">
        <x:v>0</x:v>
      </x:c>
      <x:c r="H147" t="n">
        <x:v>0</x:v>
      </x:c>
      <x:c r="I147" t="n">
        <x:v>0</x:v>
      </x:c>
      <x:c r="J147" t="n">
        <x:v>0</x:v>
      </x:c>
    </x:row>
    <x:row r="148">
      <x:c r="A148" t="str">
        <x:v>041326_AllinoneFreeGiftLPTestBOF1_v1_EBUN_Evergreen - 041326_AllinoneFreeGiftLPTestBOF1_v1_EBUN_Evergreen - 001NYS - 002TC - 000EBUN - 004MULTI - 005SA - 006SavvyTraveler - 007DEMO - 008MULTI - 009MULTI - 010V3 - 011MULTI - 012ENG - 013ACJ</x:v>
      </x:c>
      <x:c r="B148" t="str">
        <x:v>test - video/static - wl</x:v>
      </x:c>
      <x:c r="C148" t="str">
        <x:v>Nobl</x:v>
      </x:c>
      <x:c r="D148" t="str">
        <x:v>Creator / Whitelist</x:v>
      </x:c>
      <x:c r="E148" t="n">
        <x:v>1</x:v>
      </x:c>
      <x:c r="F148" t="n">
        <x:v>0</x:v>
      </x:c>
      <x:c r="G148" t="n">
        <x:v>1</x:v>
      </x:c>
      <x:c r="H148" t="n">
        <x:v>0</x:v>
      </x:c>
      <x:c r="I148" t="n">
        <x:v>0</x:v>
      </x:c>
      <x:c r="J148" t="n">
        <x:v>0</x:v>
      </x:c>
    </x:row>
    <x:row r="149">
      <x:c r="A149" t="str">
        <x:v>122225_CanWeTalkTOF1_v1_AIO_Evergreen - 001NYS - 002FA - 000AIO - 003122225_CanWeTalkTOF1_v1_AIO_Evergreen - 004MULTI - 005US - 006⁠FunctionalTraveler - 007COMP - 00860s - 009MULTI - 010V1 - 011MULTI - 012ENG</x:v>
      </x:c>
      <x:c r="B149" t="str">
        <x:v>can - tof - all</x:v>
      </x:c>
      <x:c r="C149" t="str">
        <x:v>Nobl</x:v>
      </x:c>
      <x:c r="D149" t="str">
        <x:v>Brand page</x:v>
      </x:c>
      <x:c r="E149" t="n">
        <x:v>1</x:v>
      </x:c>
      <x:c r="F149" t="n">
        <x:v>0</x:v>
      </x:c>
      <x:c r="G149" t="n">
        <x:v>0</x:v>
      </x:c>
      <x:c r="H149" t="n">
        <x:v>1</x:v>
      </x:c>
      <x:c r="I149" t="n">
        <x:v>0</x:v>
      </x:c>
      <x:c r="J149" t="n">
        <x:v>0</x:v>
      </x:c>
    </x:row>
    <x:row r="150">
      <x:c r="A150" t="str">
        <x:v>landing page views - pen.v1</x:v>
      </x:c>
      <x:c r="B150" t="str">
        <x:v>[n] usa - landing page views - all</x:v>
      </x:c>
      <x:c r="C150" t="str">
        <x:v>Nobl</x:v>
      </x:c>
      <x:c r="D150" t="str">
        <x:v>Brand page</x:v>
      </x:c>
      <x:c r="E150" t="n">
        <x:v>1</x:v>
      </x:c>
      <x:c r="F150" t="n">
        <x:v>0</x:v>
      </x:c>
      <x:c r="G150" t="n">
        <x:v>0</x:v>
      </x:c>
      <x:c r="H150" t="n">
        <x:v>0</x:v>
      </x:c>
      <x:c r="I150" t="n">
        <x:v>1</x:v>
      </x:c>
      <x:c r="J150" t="n">
        <x:v>0</x:v>
      </x:c>
    </x:row>
    <x:row r="151">
      <x:c r="A151" t="str">
        <x:v>NOBL Air creatives (only NOBL Air) - 000AIR - 001NYS - 002CA - 004Multi - 005NP - 008ToF - OTHER - V3 - v19 - 2 – Copy</x:v>
      </x:c>
      <x:c r="B151" t="str">
        <x:v>usa - tof/bof - air</x:v>
      </x:c>
      <x:c r="C151" t="str">
        <x:v>Nobl</x:v>
      </x:c>
      <x:c r="D151" t="str">
        <x:v>Brand page</x:v>
      </x:c>
      <x:c r="E151" t="n">
        <x:v>1</x:v>
      </x:c>
      <x:c r="F151" t="n">
        <x:v>1</x:v>
      </x:c>
      <x:c r="G151" t="n">
        <x:v>0</x:v>
      </x:c>
      <x:c r="H151" t="n">
        <x:v>0</x:v>
      </x:c>
      <x:c r="I151" t="n">
        <x:v>0</x:v>
      </x:c>
      <x:c r="J151" t="n">
        <x:v>0</x:v>
      </x:c>
    </x:row>
    <x:row r="152">
      <x:c r="A152" t="str">
        <x:v>060826_J0435v2_UKLaunchMrJosephBourne_TOF_Vid_000AIO_Evergreen_WL_LP001_001NYS_002LK_003UGC_005D4_007MBL_008MBL_009E_010E_011M0S47_013M2W_014UK_015AAT</x:v>
      </x:c>
      <x:c r="B152" t="str">
        <x:v>uk - tof - all</x:v>
      </x:c>
      <x:c r="C152" t="str">
        <x:v>Nobl</x:v>
      </x:c>
      <x:c r="D152" t="str">
        <x:v>Brand page</x:v>
      </x:c>
      <x:c r="E152" t="n">
        <x:v>1</x:v>
      </x:c>
      <x:c r="F152" t="n">
        <x:v>0</x:v>
      </x:c>
      <x:c r="G152" t="n">
        <x:v>1</x:v>
      </x:c>
      <x:c r="H152" t="n">
        <x:v>0</x:v>
      </x:c>
      <x:c r="I152" t="n">
        <x:v>0</x:v>
      </x:c>
      <x:c r="J152" t="n">
        <x:v>0</x:v>
      </x:c>
    </x:row>
    <x:row r="153">
      <x:c r="A153" t="str">
        <x:v>032326_IgotJealousRefreshShelbyMorisseauTOF1_v1_AIO_Evergreen_WL - 001NYS - 002TC - 000AIO - 003032326_IgotJealousRefreshShelbyMorisseauTOF1_v1_AIO_Evergreen - 004MULTI - 005SA - 006SavvyTraveler - 007DEMO - 00830s - 009FAI - 010V4 - 011YAWO - 012ENG - 013AAT</x:v>
      </x:c>
      <x:c r="B153" t="str">
        <x:v>can - tof - all</x:v>
      </x:c>
      <x:c r="C153" t="str">
        <x:v>Nobl</x:v>
      </x:c>
      <x:c r="D153" t="str">
        <x:v>Brand page</x:v>
      </x:c>
      <x:c r="E153" t="n">
        <x:v>1</x:v>
      </x:c>
      <x:c r="F153" t="n">
        <x:v>0</x:v>
      </x:c>
      <x:c r="G153" t="n">
        <x:v>0</x:v>
      </x:c>
      <x:c r="H153" t="n">
        <x:v>1</x:v>
      </x:c>
      <x:c r="I153" t="n">
        <x:v>0</x:v>
      </x:c>
      <x:c r="J153" t="n">
        <x:v>0</x:v>
      </x:c>
    </x:row>
    <x:row r="154">
      <x:c r="A154" t="str">
        <x:v>J2v1_000AIO - 001NYS - 002PEN - 003TSABluePen - 004WHT - 005SE - 006STT - 007VO - 008TOF - 009V1 - 01045s - 011FAI - 012YWO - 013USA - 014CL - 0150424</x:v>
      </x:c>
      <x:c r="B154" t="str">
        <x:v>usa - tof - all</x:v>
      </x:c>
      <x:c r="C154" t="str">
        <x:v>Nobl</x:v>
      </x:c>
      <x:c r="D154" t="str">
        <x:v>Brand page</x:v>
      </x:c>
      <x:c r="E154" t="n">
        <x:v>1</x:v>
      </x:c>
      <x:c r="F154" t="n">
        <x:v>0</x:v>
      </x:c>
      <x:c r="G154" t="n">
        <x:v>1</x:v>
      </x:c>
      <x:c r="H154" t="n">
        <x:v>0</x:v>
      </x:c>
      <x:c r="I154" t="n">
        <x:v>0</x:v>
      </x:c>
      <x:c r="J154" t="n">
        <x:v>0</x:v>
      </x:c>
    </x:row>
    <x:row r="155">
      <x:c r="A155" t="str">
        <x:v>010526_CanWeTalkArcadsBlackFemaleTOF1_v1_AIO_Evergreen - 001NYS - 002TC - 000AIO - 003010526_CanWeTalkArcadsBlackFemaleTOF1_v1_AIO_Evergreen - 004SIL - 005US - 006Stressedtraveler - 007DEMO - 00860s - 009FAI - 010V1 - 011YAWO - 012ENG - 013AAH</x:v>
      </x:c>
      <x:c r="B155" t="str">
        <x:v>aus - tof - all</x:v>
      </x:c>
      <x:c r="C155" t="str">
        <x:v>Nobl</x:v>
      </x:c>
      <x:c r="D155" t="str">
        <x:v>Brand page</x:v>
      </x:c>
      <x:c r="E155" t="n">
        <x:v>1</x:v>
      </x:c>
      <x:c r="F155" t="n">
        <x:v>0</x:v>
      </x:c>
      <x:c r="G155" t="n">
        <x:v>1</x:v>
      </x:c>
      <x:c r="H155" t="n">
        <x:v>0</x:v>
      </x:c>
      <x:c r="I155" t="n">
        <x:v>0</x:v>
      </x:c>
      <x:c r="J155" t="n">
        <x:v>0</x:v>
      </x:c>
    </x:row>
    <x:row r="156">
      <x:c r="A156" t="str">
        <x:v>000AIO - 001NYS - 002 - 004Multi - 005SA - 008BoF - 006EA - NOBL Australia - Australia Launch - v13</x:v>
      </x:c>
      <x:c r="B156" t="str">
        <x:v>can + aus - tof - all</x:v>
      </x:c>
      <x:c r="C156" t="str">
        <x:v>Nobl</x:v>
      </x:c>
      <x:c r="D156" t="str">
        <x:v>Brand page</x:v>
      </x:c>
      <x:c r="E156" t="n">
        <x:v>1</x:v>
      </x:c>
      <x:c r="F156" t="n">
        <x:v>0</x:v>
      </x:c>
      <x:c r="G156" t="n">
        <x:v>1</x:v>
      </x:c>
      <x:c r="H156" t="n">
        <x:v>0</x:v>
      </x:c>
      <x:c r="I156" t="n">
        <x:v>0</x:v>
      </x:c>
      <x:c r="J156" t="n">
        <x:v>0</x:v>
      </x:c>
    </x:row>
    <x:row r="157">
      <x:c r="A157" t="str">
        <x:v>Organic · @nobltravel</x:v>
      </x:c>
      <x:c r="B157" t="str">
        <x:v>Organic</x:v>
      </x:c>
      <x:c r="C157" t="str">
        <x:v>Nobl</x:v>
      </x:c>
      <x:c r="D157" t="str">
        <x:v>Organic</x:v>
      </x:c>
      <x:c r="E157" t="n">
        <x:v>1</x:v>
      </x:c>
      <x:c r="F157" t="n">
        <x:v>1</x:v>
      </x:c>
      <x:c r="G157" t="n">
        <x:v>0</x:v>
      </x:c>
      <x:c r="H157" t="n">
        <x:v>0</x:v>
      </x:c>
      <x:c r="I157" t="n">
        <x:v>0</x:v>
      </x:c>
      <x:c r="J157" t="n">
        <x:v>0</x:v>
      </x:c>
    </x:row>
    <x:row r="158">
      <x:c r="A158" t="str">
        <x:v>J1v1_000AIO - 001NYS - 002AirBack - 003Water - 004BLK - 005SE - 006FUT - 007DEMO - 008TOF - 009V2B - 01030s - 011FAI - 012YWO - 013USA - 014CL - 0150405</x:v>
      </x:c>
      <x:c r="B158" t="str">
        <x:v>usa - tof - all</x:v>
      </x:c>
      <x:c r="C158" t="str">
        <x:v>Nobl</x:v>
      </x:c>
      <x:c r="D158" t="str">
        <x:v>Brand page</x:v>
      </x:c>
      <x:c r="E158" t="n">
        <x:v>1</x:v>
      </x:c>
      <x:c r="F158" t="n">
        <x:v>0</x:v>
      </x:c>
      <x:c r="G158" t="n">
        <x:v>0</x:v>
      </x:c>
      <x:c r="H158" t="n">
        <x:v>1</x:v>
      </x:c>
      <x:c r="I158" t="n">
        <x:v>0</x:v>
      </x:c>
      <x:c r="J158" t="n">
        <x:v>0</x:v>
      </x:c>
    </x:row>
    <x:row r="159">
      <x:c r="A159" t="str">
        <x:v>062926_J0546v1_TSAOpenersAUS_TOF_Vid_BJ7v1_000AIO_Evergreen_LP001_001NYS_002LK_003NGC_005F5_007SIL_008IVY_009E_010A_011M1S01_013F3W_014AUS_015AAA</x:v>
      </x:c>
      <x:c r="B159" t="str">
        <x:v>aus - tof - all</x:v>
      </x:c>
      <x:c r="C159" t="str">
        <x:v>Nobl</x:v>
      </x:c>
      <x:c r="D159" t="str">
        <x:v>Brand page</x:v>
      </x:c>
      <x:c r="E159" t="n">
        <x:v>1</x:v>
      </x:c>
      <x:c r="F159" t="n">
        <x:v>0</x:v>
      </x:c>
      <x:c r="G159" t="n">
        <x:v>0</x:v>
      </x:c>
      <x:c r="H159" t="n">
        <x:v>1</x:v>
      </x:c>
      <x:c r="I159" t="n">
        <x:v>0</x:v>
      </x:c>
      <x:c r="J159" t="n">
        <x:v>0</x:v>
      </x:c>
    </x:row>
    <x:row r="160">
      <x:c r="A160" t="str">
        <x:v>Organic · @kellyprincewright</x:v>
      </x:c>
      <x:c r="B160" t="str">
        <x:v>Organic</x:v>
      </x:c>
      <x:c r="C160" t="str">
        <x:v>Unattributed</x:v>
      </x:c>
      <x:c r="D160" t="str">
        <x:v>Creator / Whitelist</x:v>
      </x:c>
      <x:c r="E160" t="n">
        <x:v>1</x:v>
      </x:c>
      <x:c r="F160" t="n">
        <x:v>0</x:v>
      </x:c>
      <x:c r="G160" t="n">
        <x:v>1</x:v>
      </x:c>
      <x:c r="H160" t="n">
        <x:v>0</x:v>
      </x:c>
      <x:c r="I160" t="n">
        <x:v>0</x:v>
      </x:c>
      <x:c r="J160" t="n">
        <x:v>0</x:v>
      </x:c>
    </x:row>
    <x:row r="161">
      <x:c r="A161" t="str">
        <x:v>112425_SavOpensTOF1_v1_AIO_Evergreen - 001NYS - 002TC - 000AIO - 003112425_SavOpensTOF1_v1_AIO_Evergreen - 004MULTI - 005US - 006ReadyToBuy - 007DEMO - 00830s - 009FAI - 010V2 - 011YAWO - 012ENG</x:v>
      </x:c>
      <x:c r="B161" t="str">
        <x:v>eu  -  asc+ t-roas - all (English)</x:v>
      </x:c>
      <x:c r="C161" t="str">
        <x:v>Nobl</x:v>
      </x:c>
      <x:c r="D161" t="str">
        <x:v>Brand page</x:v>
      </x:c>
      <x:c r="E161" t="n">
        <x:v>1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1</x:v>
      </x:c>
    </x:row>
    <x:row r="162">
      <x:c r="A162" t="str">
        <x:v>Organic · @sarahlauren_71</x:v>
      </x:c>
      <x:c r="B162" t="str">
        <x:v>Organic</x:v>
      </x:c>
      <x:c r="C162" t="str">
        <x:v>Unattributed</x:v>
      </x:c>
      <x:c r="D162" t="str">
        <x:v>Creator / Whitelist</x:v>
      </x:c>
      <x:c r="E162" t="n">
        <x:v>1</x:v>
      </x:c>
      <x:c r="F162" t="n">
        <x:v>0</x:v>
      </x:c>
      <x:c r="G162" t="n">
        <x:v>0</x:v>
      </x:c>
      <x:c r="H162" t="n">
        <x:v>0</x:v>
      </x:c>
      <x:c r="I162" t="n">
        <x:v>1</x:v>
      </x:c>
      <x:c r="J162" t="n">
        <x:v>0</x:v>
      </x:c>
    </x:row>
    <x:row r="163">
      <x:c r="A163" t="str">
        <x:v>Organic · @angelenees.ugc</x:v>
      </x:c>
      <x:c r="B163" t="str">
        <x:v>Organic</x:v>
      </x:c>
      <x:c r="C163" t="str">
        <x:v>Unattributed</x:v>
      </x:c>
      <x:c r="D163" t="str">
        <x:v>Creator / Whitelist</x:v>
      </x:c>
      <x:c r="E163" t="n">
        <x:v>1</x:v>
      </x:c>
      <x:c r="F163" t="n">
        <x:v>1</x:v>
      </x:c>
      <x:c r="G163" t="n">
        <x:v>0</x:v>
      </x:c>
      <x:c r="H163" t="n">
        <x:v>0</x:v>
      </x:c>
      <x:c r="I163" t="n">
        <x:v>0</x:v>
      </x:c>
      <x:c r="J163" t="n">
        <x:v>0</x:v>
      </x:c>
    </x:row>
    <x:row r="164">
      <x:c r="A164" t="str">
        <x:v>060826_J444v2_InfluencerMelissaLevinsonEvergreenBundleSale_TOF_Vid_B04021v1v1_000EBUN_Evergreen_WL_LP003_001NYS_002TC_003NGC_005L1_007SIL_008SIL_009F_010F_011M0S17_013F2W_014USA</x:v>
      </x:c>
      <x:c r="B164" t="str">
        <x:v>uk - tof - all</x:v>
      </x:c>
      <x:c r="C164" t="str">
        <x:v>Nobl</x:v>
      </x:c>
      <x:c r="D164" t="str">
        <x:v>Brand page</x:v>
      </x:c>
      <x:c r="E164" t="n">
        <x:v>1</x:v>
      </x:c>
      <x:c r="F164" t="n">
        <x:v>1</x:v>
      </x:c>
      <x:c r="G164" t="n">
        <x:v>0</x:v>
      </x:c>
      <x:c r="H164" t="n">
        <x:v>0</x:v>
      </x:c>
      <x:c r="I164" t="n">
        <x:v>0</x:v>
      </x:c>
      <x:c r="J164" t="n">
        <x:v>0</x:v>
      </x:c>
    </x:row>
    <x:row r="165">
      <x:c r="A165" t="str">
        <x:v>030926_GFGiftCraftyBrandedTOF1_v1_AIO_Evergreen - 001NYS - 002TC - 000AIO - 003030926_GFGiftCraftyBrandedTOF1_v1_AIO_Evergreen - 004MULTI - 005US - 006SavvyTraveler - 007DEMO - 00860s - 009MAI - 010V2 - 011MULTI - 012ENG - 013AAT</x:v>
      </x:c>
      <x:c r="B165" t="str">
        <x:v>blackcrow - usa - tof - all</x:v>
      </x:c>
      <x:c r="C165" t="str">
        <x:v>Nobl</x:v>
      </x:c>
      <x:c r="D165" t="str">
        <x:v>Brand page</x:v>
      </x:c>
      <x:c r="E165" t="n">
        <x:v>1</x:v>
      </x:c>
      <x:c r="F165" t="n">
        <x:v>0</x:v>
      </x:c>
      <x:c r="G165" t="n">
        <x:v>1</x:v>
      </x:c>
      <x:c r="H165" t="n">
        <x:v>0</x:v>
      </x:c>
      <x:c r="I165" t="n">
        <x:v>0</x:v>
      </x:c>
      <x:c r="J165" t="n">
        <x:v>0</x:v>
      </x:c>
    </x:row>
    <x:row r="166">
      <x:c r="A166" t="str">
        <x:v>J8v1_102725_CluelessGuyTOF1_v1_AIO_Evergreen - 001NYS - 002FA - 003102725_CluelessGuyTOF1_v1_AIO_Evergreen - 004MULTI - 005US - 006SavvyTraveler - 007DEMO - 00830s - 009MAI - 010V1 - 011AMA - 012ENG</x:v>
      </x:c>
      <x:c r="B166" t="str">
        <x:v>usa -  asc+ t-roas - all</x:v>
      </x:c>
      <x:c r="C166" t="str">
        <x:v>Nobl</x:v>
      </x:c>
      <x:c r="D166" t="str">
        <x:v>Brand page</x:v>
      </x:c>
      <x:c r="E166" t="n">
        <x:v>1</x:v>
      </x:c>
      <x:c r="F166" t="n">
        <x:v>0</x:v>
      </x:c>
      <x:c r="G166" t="n">
        <x:v>0</x:v>
      </x:c>
      <x:c r="H166" t="n">
        <x:v>0</x:v>
      </x:c>
      <x:c r="I166" t="n">
        <x:v>1</x:v>
      </x:c>
      <x:c r="J166" t="n">
        <x:v>0</x:v>
      </x:c>
    </x:row>
    <x:row r="167">
      <x:c r="A167" t="str">
        <x:v>Organic · @ellenhellkvist</x:v>
      </x:c>
      <x:c r="B167" t="str">
        <x:v>Organic</x:v>
      </x:c>
      <x:c r="C167" t="str">
        <x:v>Unattributed</x:v>
      </x:c>
      <x:c r="D167" t="str">
        <x:v>Creator / Whitelist</x:v>
      </x:c>
      <x:c r="E167" t="n">
        <x:v>1</x:v>
      </x:c>
      <x:c r="F167" t="n">
        <x:v>0</x:v>
      </x:c>
      <x:c r="G167" t="n">
        <x:v>0</x:v>
      </x:c>
      <x:c r="H167" t="n">
        <x:v>1</x:v>
      </x:c>
      <x:c r="I167" t="n">
        <x:v>0</x:v>
      </x:c>
      <x:c r="J167" t="n">
        <x:v>0</x:v>
      </x:c>
    </x:row>
    <x:row r="168">
      <x:c r="A168" t="str">
        <x:v>020926_C35_WinnerFloTOF1_v1_MAIN_Evergreen - 001NYS - 002CA - 000MAIN - 003020926_C35_WinnerFloTOF1_v1_MAIN_Evergreen - 004MULTI - 005US - 006DrivenAthlete - 007DEMO - 008MULTI - 009FAI - 010V2 - 011YAWO - 012ENG - 013 - wl</x:v>
      </x:c>
      <x:c r="B168" t="str">
        <x:v>usa - asc+ cc - portable</x:v>
      </x:c>
      <x:c r="C168" t="str">
        <x:v>Flo</x:v>
      </x:c>
      <x:c r="D168" t="str">
        <x:v>Creator / Whitelist</x:v>
      </x:c>
      <x:c r="E168" t="n">
        <x:v>1</x:v>
      </x:c>
      <x:c r="F168" t="n">
        <x:v>1</x:v>
      </x:c>
      <x:c r="G168" t="n">
        <x:v>0</x:v>
      </x:c>
      <x:c r="H168" t="n">
        <x:v>0</x:v>
      </x:c>
      <x:c r="I168" t="n">
        <x:v>0</x:v>
      </x:c>
      <x:c r="J168" t="n">
        <x:v>0</x:v>
      </x:c>
    </x:row>
    <x:row r="169">
      <x:c r="A169" t="str">
        <x:v>021626_ItsANoBrainerTOF1_v1_WEEKBOGO_Evergreen - 001NYS - 002LK - 000WEEK - 003021626_ItsANoBrainerTOF1_v1_WEEK_Evergreen - 004MULTI - 005US - 006SavvyTraveler - 007VO - 00840s - 009FAI - 010V4 - 011MULTI - 012ENG - 013AAK</x:v>
      </x:c>
      <x:c r="B169" t="str">
        <x:v>usa - tof - abo - (WEEK + EXP + DUO)</x:v>
      </x:c>
      <x:c r="C169" t="str">
        <x:v>Nobl</x:v>
      </x:c>
      <x:c r="D169" t="str">
        <x:v>Brand page</x:v>
      </x:c>
      <x:c r="E169" t="n">
        <x:v>1</x:v>
      </x:c>
      <x:c r="F169" t="n">
        <x:v>0</x:v>
      </x:c>
      <x:c r="G169" t="n">
        <x:v>1</x:v>
      </x:c>
      <x:c r="H169" t="n">
        <x:v>0</x:v>
      </x:c>
      <x:c r="I169" t="n">
        <x:v>0</x:v>
      </x:c>
      <x:c r="J169" t="n">
        <x:v>0</x:v>
      </x:c>
    </x:row>
    <x:row r="170">
      <x:c r="A170" t="str">
        <x:v>120125_HowIGotAFreeAllInOneBOF1_v1_AIO_Evergreen - 001NYS - 002TC - 000AIO - 003120125_HowIGotAFreeAllInOneBOF1_v1_AIO_Evergreen - 004MULTI - 005SA - 006SavvyTraveler - 007MON - 00860s - 009FAI - 010V2 - 011YAWO - 012ENG</x:v>
      </x:c>
      <x:c r="B170" t="str">
        <x:v>can + aus - tof - all</x:v>
      </x:c>
      <x:c r="C170" t="str">
        <x:v>Nobl</x:v>
      </x:c>
      <x:c r="D170" t="str">
        <x:v>Brand page</x:v>
      </x:c>
      <x:c r="E170" t="n">
        <x:v>1</x:v>
      </x:c>
      <x:c r="F170" t="n">
        <x:v>0</x:v>
      </x:c>
      <x:c r="G170" t="n">
        <x:v>1</x:v>
      </x:c>
      <x:c r="H170" t="n">
        <x:v>0</x:v>
      </x:c>
      <x:c r="I170" t="n">
        <x:v>0</x:v>
      </x:c>
      <x:c r="J170" t="n">
        <x:v>0</x:v>
      </x:c>
    </x:row>
    <x:row r="171">
      <x:c r="A171" t="str">
        <x:v>051826_J-0275v4_VotedTheBestLuggageLiliiaAlfavitska_TOF_Vid_000AIO_Evergreen_WL_LP001_001NYS_002FA_003NGC_005L1_006SP009_007SGE_008SGE_009B_010B_011M0S31_013F2W_014USA_015AAA</x:v>
      </x:c>
      <x:c r="B171" t="str">
        <x:v>usa -  asc+ t-roas - all – losers</x:v>
      </x:c>
      <x:c r="C171" t="str">
        <x:v>Nobl</x:v>
      </x:c>
      <x:c r="D171" t="str">
        <x:v>Brand page</x:v>
      </x:c>
      <x:c r="E171" t="n">
        <x:v>1</x:v>
      </x:c>
      <x:c r="F171" t="n">
        <x:v>0</x:v>
      </x:c>
      <x:c r="G171" t="n">
        <x:v>0</x:v>
      </x:c>
      <x:c r="H171" t="n">
        <x:v>0</x:v>
      </x:c>
      <x:c r="I171" t="n">
        <x:v>1</x:v>
      </x:c>
      <x:c r="J171" t="n">
        <x:v>0</x:v>
      </x:c>
    </x:row>
    <x:row r="172">
      <x:c r="A172" t="str">
        <x:v>031626_J143v1_CanadaLaunchUGCTOF1_v1_AIO_Evergreen - 001NYS - 002TC - 000AIO - 003031626_CanadaLaunchUGCTOF1_v1_AIO_Evergreen - 004YLW - 005US - 006⁠FunctionalTraveler - 007DEMO - 00850s - 009MULTI - 010V1 - 011YAWO - 012ENG - 013ABF</x:v>
      </x:c>
      <x:c r="B172" t="str">
        <x:v>can + aus - tof - all</x:v>
      </x:c>
      <x:c r="C172" t="str">
        <x:v>Nobl</x:v>
      </x:c>
      <x:c r="D172" t="str">
        <x:v>Brand page</x:v>
      </x:c>
      <x:c r="E172" t="n">
        <x:v>1</x:v>
      </x:c>
      <x:c r="F172" t="n">
        <x:v>0</x:v>
      </x:c>
      <x:c r="G172" t="n">
        <x:v>1</x:v>
      </x:c>
      <x:c r="H172" t="n">
        <x:v>0</x:v>
      </x:c>
      <x:c r="I172" t="n">
        <x:v>0</x:v>
      </x:c>
      <x:c r="J172" t="n">
        <x:v>0</x:v>
      </x:c>
    </x:row>
    <x:row r="173">
      <x:c r="A173" t="str">
        <x:v>062226_J0512v4_FreeAIOJuly4thSale_BOF_Vid_B56v1_000EBUN_July4thSale_LP003_001NYS_002TC_003UGC_005E2_006PR003_007CRD_008MULTI_009A_010A_013F1W_014USA_15ATA</x:v>
      </x:c>
      <x:c r="B173" t="str">
        <x:v>usa -  asc+ promo</x:v>
      </x:c>
      <x:c r="C173" t="str">
        <x:v>Nobl</x:v>
      </x:c>
      <x:c r="D173" t="str">
        <x:v>Brand page</x:v>
      </x:c>
      <x:c r="E173" t="n">
        <x:v>1</x:v>
      </x:c>
      <x:c r="F173" t="n">
        <x:v>0</x:v>
      </x:c>
      <x:c r="G173" t="n">
        <x:v>1</x:v>
      </x:c>
      <x:c r="H173" t="n">
        <x:v>0</x:v>
      </x:c>
      <x:c r="I173" t="n">
        <x:v>0</x:v>
      </x:c>
      <x:c r="J173" t="n">
        <x:v>0</x:v>
      </x:c>
    </x:row>
    <x:row r="174">
      <x:c r="A174" t="str">
        <x:v>122225_CanWeTalkTOF1_v1_AIO_Evergreen - 001NYS - 002FA - 000AIO - 003122225_CanWeTalkTOF1_v1_AIO_Evergreen - 004MULTI - 005US - 006⁠FunctionalTraveler - 007COMP - 00860s - 009MULTI - 010V1 - 011MULTI - 012ENG</x:v>
      </x:c>
      <x:c r="B174" t="str">
        <x:v>can + aus - tof - all</x:v>
      </x:c>
      <x:c r="C174" t="str">
        <x:v>Nobl</x:v>
      </x:c>
      <x:c r="D174" t="str">
        <x:v>Brand page</x:v>
      </x:c>
      <x:c r="E174" t="n">
        <x:v>1</x:v>
      </x:c>
      <x:c r="F174" t="n">
        <x:v>0</x:v>
      </x:c>
      <x:c r="G174" t="n">
        <x:v>0</x:v>
      </x:c>
      <x:c r="H174" t="n">
        <x:v>0</x:v>
      </x:c>
      <x:c r="I174" t="n">
        <x:v>1</x:v>
      </x:c>
      <x:c r="J174" t="n">
        <x:v>0</x:v>
      </x:c>
    </x:row>
    <x:row r="175">
      <x:c r="A175" t="str">
        <x:v>062926_J0545v2_AddUpFastAIO+_TOF_Vid_000AIO_Evergreen_LP001_001NYS_002LK_003NGC_005F3_007BYL_008BYL_009A_010A_011M0S56_013F2W_014USA_015AAT</x:v>
      </x:c>
      <x:c r="B175" t="str">
        <x:v>test - video - all</x:v>
      </x:c>
      <x:c r="C175" t="str">
        <x:v>Nobl</x:v>
      </x:c>
      <x:c r="D175" t="str">
        <x:v>Brand page</x:v>
      </x:c>
      <x:c r="E175" t="n">
        <x:v>1</x:v>
      </x:c>
      <x:c r="F175" t="n">
        <x:v>1</x:v>
      </x:c>
      <x:c r="G175" t="n">
        <x:v>0</x:v>
      </x:c>
      <x:c r="H175" t="n">
        <x:v>0</x:v>
      </x:c>
      <x:c r="I175" t="n">
        <x:v>0</x:v>
      </x:c>
      <x:c r="J17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aaa769e9c042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  <x:col min="8" max="8" width="24" hidden="0" customWidth="1"/>
    <x:col min="9" max="9" width="44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  <x:col min="14" max="14" width="12" hidden="0" customWidth="1"/>
    <x:col min="15" max="15" width="10" hidden="0" customWidth="1"/>
    <x:col min="16" max="16" width="14" hidden="0" customWidth="1"/>
    <x:col min="17" max="17" width="28" hidden="0" customWidth="1"/>
  </x:cols>
  <x:sheetData>
    <x:row r="1" ht="24" customHeight="1">
      <x:c r="A1" s="22" t="str">
        <x:v>Comment_ID</x:v>
      </x:c>
      <x:c r="B1" s="22" t="str">
        <x:v>Comment_Date</x:v>
      </x:c>
      <x:c r="C1" s="22" t="str">
        <x:v>Comment_Time</x:v>
      </x:c>
      <x:c r="D1" s="22" t="str">
        <x:v>Brand</x:v>
      </x:c>
      <x:c r="E1" s="22" t="str">
        <x:v>Platform</x:v>
      </x:c>
      <x:c r="F1" s="22" t="str">
        <x:v>Source</x:v>
      </x:c>
      <x:c r="G1" s="22" t="str">
        <x:v>Ad_Name</x:v>
      </x:c>
      <x:c r="H1" s="22" t="str">
        <x:v>Campaign</x:v>
      </x:c>
      <x:c r="I1" s="22" t="str">
        <x:v>Comment_Text</x:v>
      </x:c>
      <x:c r="J1" s="22" t="str">
        <x:v>Sentiment</x:v>
      </x:c>
      <x:c r="K1" s="22" t="str">
        <x:v>Status</x:v>
      </x:c>
      <x:c r="L1" s="22" t="str">
        <x:v>Priority</x:v>
      </x:c>
      <x:c r="M1" s="22" t="str">
        <x:v>Moderator</x:v>
      </x:c>
      <x:c r="N1" s="22" t="str">
        <x:v>SLA_Minutes</x:v>
      </x:c>
      <x:c r="O1" s="22" t="str">
        <x:v>Is_Today</x:v>
      </x:c>
      <x:c r="P1" s="22" t="str">
        <x:v>Is_High_Spend</x:v>
      </x:c>
      <x:c r="Q1" s="22" t="str">
        <x:v>Notes</x:v>
      </x:c>
    </x:row>
    <x:row r="2">
      <x:c r="A2" t="str">
        <x:v>SAMPLE-1</x:v>
      </x:c>
      <x:c r="B2" s="30" t="str">
        <x:v>Jul 8, 2026</x:v>
      </x:c>
      <x:c r="C2" t="str"/>
      <x:c r="D2" t="str">
        <x:v>Unattributed</x:v>
      </x:c>
      <x:c r="E2" t="str">
        <x:v>Facebook</x:v>
      </x:c>
      <x:c r="F2" t="str">
        <x:v>Creator / Whitelist</x:v>
      </x:c>
      <x:c r="G2" t="str">
        <x:v>Organic · @angelenees.ugc</x:v>
      </x:c>
      <x:c r="H2" t="str">
        <x:v>Organic</x:v>
      </x:c>
      <x:c r="I2" t="str">
        <x:v>Paste real latest comment text here</x:v>
      </x:c>
      <x:c r="J2" t="str">
        <x:v>Positive</x:v>
      </x:c>
      <x:c r="K2" t="str">
        <x:v>Replied</x:v>
      </x:c>
      <x:c r="L2" t="str">
        <x:v>Normal</x:v>
      </x:c>
      <x:c r="M2" t="str"/>
      <x:c r="N2" t="str"/>
      <x:c r="O2" t="n">
        <x:f>--(B2=TODAY())</x:f>
        <x:v>0</x:v>
      </x:c>
      <x:c r="P2" t="str"/>
      <x:c r="Q2" t="str">
        <x:v>Sample only - replace with dashboard export</x:v>
      </x:c>
    </x:row>
    <x:row r="3">
      <x:c r="A3" t="str">
        <x:v>SAMPLE-2</x:v>
      </x:c>
      <x:c r="B3" s="30" t="str">
        <x:v>Jul 8, 2026</x:v>
      </x:c>
      <x:c r="C3" t="str"/>
      <x:c r="D3" t="str">
        <x:v>Unattributed</x:v>
      </x:c>
      <x:c r="E3" t="str">
        <x:v>Instagram</x:v>
      </x:c>
      <x:c r="F3" t="str">
        <x:v>Creator / Whitelist</x:v>
      </x:c>
      <x:c r="G3" t="str">
        <x:v>Organic · @angelenees.ugc</x:v>
      </x:c>
      <x:c r="H3" t="str">
        <x:v>Organic</x:v>
      </x:c>
      <x:c r="I3" t="str">
        <x:v>Paste real latest comment text here</x:v>
      </x:c>
      <x:c r="J3" t="str">
        <x:v>Positive</x:v>
      </x:c>
      <x:c r="K3" t="str">
        <x:v>Replied</x:v>
      </x:c>
      <x:c r="L3" t="str">
        <x:v>Normal</x:v>
      </x:c>
      <x:c r="M3" t="str"/>
      <x:c r="N3" t="str"/>
      <x:c r="O3" t="n">
        <x:f>--(B2=TODAY())</x:f>
        <x:v>0</x:v>
      </x:c>
      <x:c r="P3" t="str"/>
      <x:c r="Q3" t="str">
        <x:v>Sample only - replace with dashboard export</x:v>
      </x:c>
    </x:row>
    <x:row r="4">
      <x:c r="A4" t="str">
        <x:v>SAMPLE-3</x:v>
      </x:c>
      <x:c r="B4" s="30" t="str">
        <x:v>Jul 8, 2026</x:v>
      </x:c>
      <x:c r="C4" t="str"/>
      <x:c r="D4" t="str">
        <x:v>Unattributed</x:v>
      </x:c>
      <x:c r="E4" t="str">
        <x:v>Facebook</x:v>
      </x:c>
      <x:c r="F4" t="str">
        <x:v>Creator / Whitelist</x:v>
      </x:c>
      <x:c r="G4" t="str">
        <x:v>Organic · @angelenees.ugc</x:v>
      </x:c>
      <x:c r="H4" t="str">
        <x:v>Organic</x:v>
      </x:c>
      <x:c r="I4" t="str">
        <x:v>Paste real latest comment text here</x:v>
      </x:c>
      <x:c r="J4" t="str">
        <x:v>Negative</x:v>
      </x:c>
      <x:c r="K4" t="str">
        <x:v>Pending</x:v>
      </x:c>
      <x:c r="L4" t="str">
        <x:v>High</x:v>
      </x:c>
      <x:c r="M4" t="str"/>
      <x:c r="N4" t="str"/>
      <x:c r="O4" t="n">
        <x:f>--(B2=TODAY())</x:f>
        <x:v>0</x:v>
      </x:c>
      <x:c r="P4" t="str"/>
      <x:c r="Q4" t="str">
        <x:v>Sample only - replace with dashboard export</x:v>
      </x:c>
    </x:row>
    <x:row r="5">
      <x:c r="A5" t="str">
        <x:v>SAMPLE-4</x:v>
      </x:c>
      <x:c r="B5" s="30" t="str">
        <x:v>Jul 8, 2026</x:v>
      </x:c>
      <x:c r="C5" t="str"/>
      <x:c r="D5" t="str">
        <x:v>Nobl</x:v>
      </x:c>
      <x:c r="E5" t="str">
        <x:v>Instagram</x:v>
      </x:c>
      <x:c r="F5" t="str">
        <x:v>Brand page</x:v>
      </x:c>
      <x:c r="G5" t="str">
        <x:v>060826_J-0419v1_MyExHusbandsGirlfriend_TOF_Vid_000AIO_Evergreen_LP001_001NYS_002FA_003UGC_005J2_007MNT_008MNT_009B_010B_011M8S37_013F4B_014USA_015AAT</x:v>
      </x:c>
      <x:c r="H5" t="str">
        <x:v>usa - tof - all</x:v>
      </x:c>
      <x:c r="I5" t="str">
        <x:v>Paste real latest comment text here</x:v>
      </x:c>
      <x:c r="J5" t="str">
        <x:v>Negative</x:v>
      </x:c>
      <x:c r="K5" t="str">
        <x:v>Pending</x:v>
      </x:c>
      <x:c r="L5" t="str">
        <x:v>High</x:v>
      </x:c>
      <x:c r="M5" t="str"/>
      <x:c r="N5" t="str"/>
      <x:c r="O5" t="n">
        <x:f>--(B2=TODAY())</x:f>
        <x:v>0</x:v>
      </x:c>
      <x:c r="P5" t="str"/>
      <x:c r="Q5" t="str">
        <x:v>Sample only - replace with dashboard export</x:v>
      </x:c>
    </x:row>
    <x:row r="6">
      <x:c r="A6" t="str">
        <x:v>SAMPLE-5</x:v>
      </x:c>
      <x:c r="B6" s="30" t="str">
        <x:v>Jul 8, 2026</x:v>
      </x:c>
      <x:c r="C6" t="str"/>
      <x:c r="D6" t="str">
        <x:v>Unattributed</x:v>
      </x:c>
      <x:c r="E6" t="str">
        <x:v>Facebook</x:v>
      </x:c>
      <x:c r="F6" t="str">
        <x:v>Creator / Whitelist</x:v>
      </x:c>
      <x:c r="G6" t="str">
        <x:v>Organic · @angelenees.ugc</x:v>
      </x:c>
      <x:c r="H6" t="str">
        <x:v>Organic</x:v>
      </x:c>
      <x:c r="I6" t="str">
        <x:v>Paste real latest comment text here</x:v>
      </x:c>
      <x:c r="J6" t="str">
        <x:v>Neutral</x:v>
      </x:c>
      <x:c r="K6" t="str">
        <x:v>Replied</x:v>
      </x:c>
      <x:c r="L6" t="str">
        <x:v>Normal</x:v>
      </x:c>
      <x:c r="M6" t="str"/>
      <x:c r="N6" t="str"/>
      <x:c r="O6" t="n">
        <x:f>--(B2=TODAY())</x:f>
        <x:v>0</x:v>
      </x:c>
      <x:c r="P6" t="str"/>
      <x:c r="Q6" t="str">
        <x:v>Sample only - replace with dashboard export</x:v>
      </x:c>
    </x:row>
    <x:row r="7">
      <x:c r="A7" t="str">
        <x:v>SAMPLE-6</x:v>
      </x:c>
      <x:c r="B7" s="30" t="str">
        <x:v>Jul 8, 2026</x:v>
      </x:c>
      <x:c r="C7" t="str"/>
      <x:c r="D7" t="str">
        <x:v>Unattributed</x:v>
      </x:c>
      <x:c r="E7" t="str">
        <x:v>Instagram</x:v>
      </x:c>
      <x:c r="F7" t="str">
        <x:v>Creator / Whitelist</x:v>
      </x:c>
      <x:c r="G7" t="str">
        <x:v>Organic · @mauro.littera</x:v>
      </x:c>
      <x:c r="H7" t="str">
        <x:v>Organic</x:v>
      </x:c>
      <x:c r="I7" t="str">
        <x:v>Paste real latest comment text here</x:v>
      </x:c>
      <x:c r="J7" t="str">
        <x:v>Positive</x:v>
      </x:c>
      <x:c r="K7" t="str">
        <x:v>Replied</x:v>
      </x:c>
      <x:c r="L7" t="str">
        <x:v>Normal</x:v>
      </x:c>
      <x:c r="M7" t="str"/>
      <x:c r="N7" t="str"/>
      <x:c r="O7" t="n">
        <x:f>--(B2=TODAY())</x:f>
        <x:v>0</x:v>
      </x:c>
      <x:c r="P7" t="str"/>
      <x:c r="Q7" t="str">
        <x:v>Sample only - replace with dashboard export</x:v>
      </x:c>
    </x:row>
    <x:row r="8">
      <x:c r="A8" t="str">
        <x:v>SAMPLE-7</x:v>
      </x:c>
      <x:c r="B8" s="30" t="str">
        <x:v>Jul 8, 2026</x:v>
      </x:c>
      <x:c r="C8" t="str"/>
      <x:c r="D8" t="str">
        <x:v>Unattributed</x:v>
      </x:c>
      <x:c r="E8" t="str">
        <x:v>Facebook</x:v>
      </x:c>
      <x:c r="F8" t="str">
        <x:v>Creator / Whitelist</x:v>
      </x:c>
      <x:c r="G8" t="str">
        <x:v>Organic · @angelenees.ugc</x:v>
      </x:c>
      <x:c r="H8" t="str">
        <x:v>Organic</x:v>
      </x:c>
      <x:c r="I8" t="str">
        <x:v>Paste real latest comment text here</x:v>
      </x:c>
      <x:c r="J8" t="str">
        <x:v>Positive</x:v>
      </x:c>
      <x:c r="K8" t="str">
        <x:v>Replied</x:v>
      </x:c>
      <x:c r="L8" t="str">
        <x:v>Normal</x:v>
      </x:c>
      <x:c r="M8" t="str"/>
      <x:c r="N8" t="str"/>
      <x:c r="O8" t="n">
        <x:f>--(B2=TODAY())</x:f>
        <x:v>0</x:v>
      </x:c>
      <x:c r="P8" t="str"/>
      <x:c r="Q8" t="str">
        <x:v>Sample only - replace with dashboard export</x:v>
      </x:c>
    </x:row>
    <x:row r="9">
      <x:c r="A9" t="str">
        <x:v>SAMPLE-8</x:v>
      </x:c>
      <x:c r="B9" s="30" t="str">
        <x:v>Jul 8, 2026</x:v>
      </x:c>
      <x:c r="C9" t="str"/>
      <x:c r="D9" t="str">
        <x:v>Unattributed</x:v>
      </x:c>
      <x:c r="E9" t="str">
        <x:v>Instagram</x:v>
      </x:c>
      <x:c r="F9" t="str">
        <x:v>Creator / Whitelist</x:v>
      </x:c>
      <x:c r="G9" t="str">
        <x:v>Organic · @chaltner</x:v>
      </x:c>
      <x:c r="H9" t="str">
        <x:v>Organic</x:v>
      </x:c>
      <x:c r="I9" t="str">
        <x:v>Paste real latest comment text here</x:v>
      </x:c>
      <x:c r="J9" t="str">
        <x:v>Positive</x:v>
      </x:c>
      <x:c r="K9" t="str">
        <x:v>Replied</x:v>
      </x:c>
      <x:c r="L9" t="str">
        <x:v>Normal</x:v>
      </x:c>
      <x:c r="M9" t="str"/>
      <x:c r="N9" t="str"/>
      <x:c r="O9" t="n">
        <x:f>--(B2=TODAY())</x:f>
        <x:v>0</x:v>
      </x:c>
      <x:c r="P9" t="str"/>
      <x:c r="Q9" t="str">
        <x:v>Sample only - replace with dashboard export</x:v>
      </x:c>
    </x:row>
    <x:row r="10">
      <x:c r="A10" t="str">
        <x:v>SAMPLE-9</x:v>
      </x:c>
      <x:c r="B10" s="30" t="str">
        <x:v>Jul 8, 2026</x:v>
      </x:c>
      <x:c r="C10" t="str"/>
      <x:c r="D10" t="str">
        <x:v>Unattributed</x:v>
      </x:c>
      <x:c r="E10" t="str">
        <x:v>Facebook</x:v>
      </x:c>
      <x:c r="F10" t="str">
        <x:v>Creator / Whitelist</x:v>
      </x:c>
      <x:c r="G10" t="str">
        <x:v>Organic · @sarahlauren_71</x:v>
      </x:c>
      <x:c r="H10" t="str">
        <x:v>Organic</x:v>
      </x:c>
      <x:c r="I10" t="str">
        <x:v>Paste real latest comment text here</x:v>
      </x:c>
      <x:c r="J10" t="str">
        <x:v>Negative</x:v>
      </x:c>
      <x:c r="K10" t="str">
        <x:v>Pending</x:v>
      </x:c>
      <x:c r="L10" t="str">
        <x:v>High</x:v>
      </x:c>
      <x:c r="M10" t="str"/>
      <x:c r="N10" t="str"/>
      <x:c r="O10" t="n">
        <x:f>--(B2=TODAY())</x:f>
        <x:v>0</x:v>
      </x:c>
      <x:c r="P10" t="str"/>
      <x:c r="Q10" t="str">
        <x:v>Sample only - replace with dashboard export</x:v>
      </x:c>
    </x:row>
    <x:row r="11">
      <x:c r="A11" t="str">
        <x:v>SAMPLE-10</x:v>
      </x:c>
      <x:c r="B11" s="30" t="str">
        <x:v>Jul 8, 2026</x:v>
      </x:c>
      <x:c r="C11" t="str"/>
      <x:c r="D11" t="str">
        <x:v>Unattributed</x:v>
      </x:c>
      <x:c r="E11" t="str">
        <x:v>Instagram</x:v>
      </x:c>
      <x:c r="F11" t="str">
        <x:v>Creator / Whitelist</x:v>
      </x:c>
      <x:c r="G11" t="str">
        <x:v>Organic · @ugcbytengy</x:v>
      </x:c>
      <x:c r="H11" t="str">
        <x:v>Organic</x:v>
      </x:c>
      <x:c r="I11" t="str">
        <x:v>Paste real latest comment text here</x:v>
      </x:c>
      <x:c r="J11" t="str">
        <x:v>Positive</x:v>
      </x:c>
      <x:c r="K11" t="str">
        <x:v>Replied</x:v>
      </x:c>
      <x:c r="L11" t="str">
        <x:v>Normal</x:v>
      </x:c>
      <x:c r="M11" t="str"/>
      <x:c r="N11" t="str"/>
      <x:c r="O11" t="n">
        <x:f>--(B2=TODAY())</x:f>
        <x:v>0</x:v>
      </x:c>
      <x:c r="P11" t="str"/>
      <x:c r="Q11" t="str">
        <x:v>Sample only - replace with dashboard export</x:v>
      </x:c>
    </x:row>
    <x:row r="12">
      <x:c r="A12" t="str">
        <x:v>SAMPLE-11</x:v>
      </x:c>
      <x:c r="B12" s="30" t="str">
        <x:v>Jul 8, 2026</x:v>
      </x:c>
      <x:c r="C12" t="str"/>
      <x:c r="D12" t="str">
        <x:v>Unattributed</x:v>
      </x:c>
      <x:c r="E12" t="str">
        <x:v>Facebook</x:v>
      </x:c>
      <x:c r="F12" t="str">
        <x:v>Creator / Whitelist</x:v>
      </x:c>
      <x:c r="G12" t="str">
        <x:v>Organic · @chaltner</x:v>
      </x:c>
      <x:c r="H12" t="str">
        <x:v>Organic</x:v>
      </x:c>
      <x:c r="I12" t="str">
        <x:v>Paste real latest comment text here</x:v>
      </x:c>
      <x:c r="J12" t="str">
        <x:v>Positive</x:v>
      </x:c>
      <x:c r="K12" t="str">
        <x:v>Replied</x:v>
      </x:c>
      <x:c r="L12" t="str">
        <x:v>Normal</x:v>
      </x:c>
      <x:c r="M12" t="str"/>
      <x:c r="N12" t="str"/>
      <x:c r="O12" t="n">
        <x:f>--(B2=TODAY())</x:f>
        <x:v>0</x:v>
      </x:c>
      <x:c r="P12" t="str"/>
      <x:c r="Q12" t="str">
        <x:v>Sample only - replace with dashboard export</x:v>
      </x:c>
    </x:row>
    <x:row r="13">
      <x:c r="A13" t="str">
        <x:v>SAMPLE-12</x:v>
      </x:c>
      <x:c r="B13" s="30" t="str">
        <x:v>Jul 8, 2026</x:v>
      </x:c>
      <x:c r="C13" t="str"/>
      <x:c r="D13" t="str">
        <x:v>Unattributed</x:v>
      </x:c>
      <x:c r="E13" t="str">
        <x:v>Instagram</x:v>
      </x:c>
      <x:c r="F13" t="str">
        <x:v>Creator / Whitelist</x:v>
      </x:c>
      <x:c r="G13" t="str">
        <x:v>Organic · @ellenhellkvist</x:v>
      </x:c>
      <x:c r="H13" t="str">
        <x:v>Organic</x:v>
      </x:c>
      <x:c r="I13" t="str">
        <x:v>Paste real latest comment text here</x:v>
      </x:c>
      <x:c r="J13" t="str">
        <x:v>Positive</x:v>
      </x:c>
      <x:c r="K13" t="str">
        <x:v>Replied</x:v>
      </x:c>
      <x:c r="L13" t="str">
        <x:v>Normal</x:v>
      </x:c>
      <x:c r="M13" t="str"/>
      <x:c r="N13" t="str"/>
      <x:c r="O13" t="n">
        <x:f>--(B2=TODAY())</x:f>
        <x:v>0</x:v>
      </x:c>
      <x:c r="P13" t="str"/>
      <x:c r="Q13" t="str">
        <x:v>Sample only - replace with dashboard export</x:v>
      </x:c>
    </x:row>
    <x:row r="14">
      <x:c r="B14" s="30"/>
    </x:row>
    <x:row r="15">
      <x:c r="B15" s="30"/>
    </x:row>
    <x:row r="16">
      <x:c r="B16" s="30"/>
    </x:row>
    <x:row r="17">
      <x:c r="B17" s="30"/>
    </x:row>
    <x:row r="18">
      <x:c r="B18" s="30"/>
    </x:row>
    <x:row r="19">
      <x:c r="B19" s="30"/>
    </x:row>
    <x:row r="20">
      <x:c r="B20" s="30"/>
    </x:row>
    <x:row r="21">
      <x:c r="B21" s="30"/>
    </x:row>
    <x:row r="22">
      <x:c r="B22" s="30"/>
    </x:row>
    <x:row r="23">
      <x:c r="B23" s="30"/>
    </x:row>
    <x:row r="24">
      <x:c r="B24" s="30"/>
    </x:row>
    <x:row r="25">
      <x:c r="B25" s="30"/>
    </x:row>
    <x:row r="26">
      <x:c r="B26" s="30"/>
    </x:row>
    <x:row r="27">
      <x:c r="B27" s="30"/>
    </x:row>
    <x:row r="28">
      <x:c r="B28" s="30"/>
    </x:row>
    <x:row r="29">
      <x:c r="B29" s="30"/>
    </x:row>
    <x:row r="30">
      <x:c r="B30" s="30"/>
    </x:row>
    <x:row r="31">
      <x:c r="B31" s="30"/>
    </x:row>
    <x:row r="32">
      <x:c r="B32" s="30"/>
    </x:row>
    <x:row r="33">
      <x:c r="B33" s="30"/>
    </x:row>
    <x:row r="34">
      <x:c r="B34" s="30"/>
    </x:row>
    <x:row r="35">
      <x:c r="B35" s="30"/>
    </x:row>
    <x:row r="36">
      <x:c r="B36" s="30"/>
    </x:row>
    <x:row r="37">
      <x:c r="B37" s="30"/>
    </x:row>
    <x:row r="38">
      <x:c r="B38" s="30"/>
    </x:row>
    <x:row r="39">
      <x:c r="B39" s="30"/>
    </x:row>
    <x:row r="40">
      <x:c r="B40" s="30"/>
    </x:row>
    <x:row r="41">
      <x:c r="B41" s="30"/>
    </x:row>
    <x:row r="42">
      <x:c r="B42" s="30"/>
    </x:row>
    <x:row r="43">
      <x:c r="B43" s="30"/>
    </x:row>
    <x:row r="44">
      <x:c r="B44" s="30"/>
    </x:row>
    <x:row r="45">
      <x:c r="B45" s="30"/>
    </x:row>
    <x:row r="46">
      <x:c r="B46" s="30"/>
    </x:row>
    <x:row r="47">
      <x:c r="B47" s="30"/>
    </x:row>
    <x:row r="48">
      <x:c r="B48" s="30"/>
    </x:row>
    <x:row r="49">
      <x:c r="B49" s="30"/>
    </x:row>
    <x:row r="50">
      <x:c r="B50" s="30"/>
    </x:row>
    <x:row r="51">
      <x:c r="B51" s="30"/>
    </x:row>
    <x:row r="52">
      <x:c r="B52" s="30"/>
    </x:row>
    <x:row r="53">
      <x:c r="B53" s="30"/>
    </x:row>
    <x:row r="54">
      <x:c r="B54" s="30"/>
    </x:row>
    <x:row r="55">
      <x:c r="B55" s="30"/>
    </x:row>
    <x:row r="56">
      <x:c r="B56" s="30"/>
    </x:row>
    <x:row r="57">
      <x:c r="B57" s="30"/>
    </x:row>
    <x:row r="58">
      <x:c r="B58" s="30"/>
    </x:row>
    <x:row r="59">
      <x:c r="B59" s="30"/>
    </x:row>
    <x:row r="60">
      <x:c r="B60" s="30"/>
    </x:row>
    <x:row r="61">
      <x:c r="B61" s="30"/>
    </x:row>
    <x:row r="62">
      <x:c r="B62" s="30"/>
    </x:row>
    <x:row r="63">
      <x:c r="B63" s="30"/>
    </x:row>
    <x:row r="64">
      <x:c r="B64" s="30"/>
    </x:row>
    <x:row r="65">
      <x:c r="B65" s="30"/>
    </x:row>
    <x:row r="66">
      <x:c r="B66" s="30"/>
    </x:row>
    <x:row r="67">
      <x:c r="B67" s="30"/>
    </x:row>
    <x:row r="68">
      <x:c r="B68" s="30"/>
    </x:row>
    <x:row r="69">
      <x:c r="B69" s="30"/>
    </x:row>
    <x:row r="70">
      <x:c r="B70" s="30"/>
    </x:row>
    <x:row r="71">
      <x:c r="B71" s="30"/>
    </x:row>
    <x:row r="72">
      <x:c r="B72" s="30"/>
    </x:row>
    <x:row r="73">
      <x:c r="B73" s="30"/>
    </x:row>
    <x:row r="74">
      <x:c r="B74" s="30"/>
    </x:row>
    <x:row r="75">
      <x:c r="B75" s="30"/>
    </x:row>
    <x:row r="76">
      <x:c r="B76" s="30"/>
    </x:row>
    <x:row r="77">
      <x:c r="B77" s="30"/>
    </x:row>
    <x:row r="78">
      <x:c r="B78" s="30"/>
    </x:row>
    <x:row r="79">
      <x:c r="B79" s="30"/>
    </x:row>
    <x:row r="80">
      <x:c r="B80" s="30"/>
    </x:row>
    <x:row r="81">
      <x:c r="B81" s="30"/>
    </x:row>
    <x:row r="82">
      <x:c r="B82" s="30"/>
    </x:row>
    <x:row r="83">
      <x:c r="B83" s="30"/>
    </x:row>
    <x:row r="84">
      <x:c r="B84" s="30"/>
    </x:row>
    <x:row r="85">
      <x:c r="B85" s="30"/>
    </x:row>
    <x:row r="86">
      <x:c r="B86" s="30"/>
    </x:row>
    <x:row r="87">
      <x:c r="B87" s="30"/>
    </x:row>
    <x:row r="88">
      <x:c r="B88" s="30"/>
    </x:row>
    <x:row r="89">
      <x:c r="B89" s="30"/>
    </x:row>
    <x:row r="90">
      <x:c r="B90" s="30"/>
    </x:row>
    <x:row r="91">
      <x:c r="B91" s="30"/>
    </x:row>
    <x:row r="92">
      <x:c r="B92" s="30"/>
    </x:row>
    <x:row r="93">
      <x:c r="B93" s="30"/>
    </x:row>
    <x:row r="94">
      <x:c r="B94" s="30"/>
    </x:row>
    <x:row r="95">
      <x:c r="B95" s="30"/>
    </x:row>
    <x:row r="96">
      <x:c r="B96" s="30"/>
    </x:row>
    <x:row r="97">
      <x:c r="B97" s="30"/>
    </x:row>
    <x:row r="98">
      <x:c r="B98" s="30"/>
    </x:row>
    <x:row r="99">
      <x:c r="B99" s="30"/>
    </x:row>
    <x:row r="100">
      <x:c r="B100" s="30"/>
    </x:row>
    <x:row r="101">
      <x:c r="B101" s="30"/>
    </x:row>
    <x:row r="102">
      <x:c r="B102" s="30"/>
    </x:row>
    <x:row r="103">
      <x:c r="B103" s="30"/>
    </x:row>
    <x:row r="104">
      <x:c r="B104" s="30"/>
    </x:row>
    <x:row r="105">
      <x:c r="B105" s="30"/>
    </x:row>
    <x:row r="106">
      <x:c r="B106" s="30"/>
    </x:row>
    <x:row r="107">
      <x:c r="B107" s="30"/>
    </x:row>
    <x:row r="108">
      <x:c r="B108" s="30"/>
    </x:row>
    <x:row r="109">
      <x:c r="B109" s="30"/>
    </x:row>
    <x:row r="110">
      <x:c r="B110" s="30"/>
    </x:row>
    <x:row r="111">
      <x:c r="B111" s="30"/>
    </x:row>
    <x:row r="112">
      <x:c r="B112" s="30"/>
    </x:row>
    <x:row r="113">
      <x:c r="B113" s="30"/>
    </x:row>
    <x:row r="114">
      <x:c r="B114" s="30"/>
    </x:row>
    <x:row r="115">
      <x:c r="B115" s="30"/>
    </x:row>
    <x:row r="116">
      <x:c r="B116" s="30"/>
    </x:row>
    <x:row r="117">
      <x:c r="B117" s="30"/>
    </x:row>
    <x:row r="118">
      <x:c r="B118" s="30"/>
    </x:row>
    <x:row r="119">
      <x:c r="B119" s="30"/>
    </x:row>
    <x:row r="120">
      <x:c r="B120" s="30"/>
    </x:row>
    <x:row r="121">
      <x:c r="B121" s="30"/>
    </x:row>
    <x:row r="122">
      <x:c r="B122" s="30"/>
    </x:row>
    <x:row r="123">
      <x:c r="B123" s="30"/>
    </x:row>
    <x:row r="124">
      <x:c r="B124" s="30"/>
    </x:row>
    <x:row r="125">
      <x:c r="B125" s="30"/>
    </x:row>
    <x:row r="126">
      <x:c r="B126" s="30"/>
    </x:row>
    <x:row r="127">
      <x:c r="B127" s="30"/>
    </x:row>
    <x:row r="128">
      <x:c r="B128" s="30"/>
    </x:row>
    <x:row r="129">
      <x:c r="B129" s="30"/>
    </x:row>
    <x:row r="130">
      <x:c r="B130" s="30"/>
    </x:row>
    <x:row r="131">
      <x:c r="B131" s="30"/>
    </x:row>
    <x:row r="132">
      <x:c r="B132" s="30"/>
    </x:row>
    <x:row r="133">
      <x:c r="B133" s="30"/>
    </x:row>
    <x:row r="134">
      <x:c r="B134" s="30"/>
    </x:row>
    <x:row r="135">
      <x:c r="B135" s="30"/>
    </x:row>
    <x:row r="136">
      <x:c r="B136" s="30"/>
    </x:row>
    <x:row r="137">
      <x:c r="B137" s="30"/>
    </x:row>
    <x:row r="138">
      <x:c r="B138" s="30"/>
    </x:row>
    <x:row r="139">
      <x:c r="B139" s="30"/>
    </x:row>
    <x:row r="140">
      <x:c r="B140" s="30"/>
    </x:row>
    <x:row r="141">
      <x:c r="B141" s="30"/>
    </x:row>
    <x:row r="142">
      <x:c r="B142" s="30"/>
    </x:row>
    <x:row r="143">
      <x:c r="B143" s="30"/>
    </x:row>
    <x:row r="144">
      <x:c r="B144" s="30"/>
    </x:row>
    <x:row r="145">
      <x:c r="B145" s="30"/>
    </x:row>
    <x:row r="146">
      <x:c r="B146" s="30"/>
    </x:row>
    <x:row r="147">
      <x:c r="B147" s="30"/>
    </x:row>
    <x:row r="148">
      <x:c r="B148" s="30"/>
    </x:row>
    <x:row r="149">
      <x:c r="B149" s="30"/>
    </x:row>
    <x:row r="150">
      <x:c r="B150" s="30"/>
    </x:row>
    <x:row r="151">
      <x:c r="B151" s="30"/>
    </x:row>
    <x:row r="152">
      <x:c r="B152" s="30"/>
    </x:row>
    <x:row r="153">
      <x:c r="B153" s="30"/>
    </x:row>
    <x:row r="154">
      <x:c r="B154" s="30"/>
    </x:row>
    <x:row r="155">
      <x:c r="B155" s="30"/>
    </x:row>
    <x:row r="156">
      <x:c r="B156" s="30"/>
    </x:row>
    <x:row r="157">
      <x:c r="B157" s="30"/>
    </x:row>
    <x:row r="158">
      <x:c r="B158" s="30"/>
    </x:row>
    <x:row r="159">
      <x:c r="B159" s="30"/>
    </x:row>
    <x:row r="160">
      <x:c r="B160" s="30"/>
    </x:row>
    <x:row r="161">
      <x:c r="B161" s="30"/>
    </x:row>
    <x:row r="162">
      <x:c r="B162" s="30"/>
    </x:row>
    <x:row r="163">
      <x:c r="B163" s="30"/>
    </x:row>
    <x:row r="164">
      <x:c r="B164" s="30"/>
    </x:row>
    <x:row r="165">
      <x:c r="B165" s="30"/>
    </x:row>
    <x:row r="166">
      <x:c r="B166" s="30"/>
    </x:row>
    <x:row r="167">
      <x:c r="B167" s="30"/>
    </x:row>
    <x:row r="168">
      <x:c r="B168" s="30"/>
    </x:row>
    <x:row r="169">
      <x:c r="B169" s="30"/>
    </x:row>
    <x:row r="170">
      <x:c r="B170" s="30"/>
    </x:row>
    <x:row r="171">
      <x:c r="B171" s="30"/>
    </x:row>
    <x:row r="172">
      <x:c r="B172" s="30"/>
    </x:row>
    <x:row r="173">
      <x:c r="B173" s="30"/>
    </x:row>
    <x:row r="174">
      <x:c r="B174" s="30"/>
    </x:row>
    <x:row r="175">
      <x:c r="B175" s="30"/>
    </x:row>
    <x:row r="176">
      <x:c r="B176" s="30"/>
    </x:row>
    <x:row r="177">
      <x:c r="B177" s="30"/>
    </x:row>
    <x:row r="178">
      <x:c r="B178" s="30"/>
    </x:row>
    <x:row r="179">
      <x:c r="B179" s="30"/>
    </x:row>
    <x:row r="180">
      <x:c r="B180" s="30"/>
    </x:row>
    <x:row r="181">
      <x:c r="B181" s="30"/>
    </x:row>
    <x:row r="182">
      <x:c r="B182" s="30"/>
    </x:row>
    <x:row r="183">
      <x:c r="B183" s="30"/>
    </x:row>
    <x:row r="184">
      <x:c r="B184" s="30"/>
    </x:row>
    <x:row r="185">
      <x:c r="B185" s="30"/>
    </x:row>
    <x:row r="186">
      <x:c r="B186" s="30"/>
    </x:row>
    <x:row r="187">
      <x:c r="B187" s="30"/>
    </x:row>
    <x:row r="188">
      <x:c r="B188" s="30"/>
    </x:row>
    <x:row r="189">
      <x:c r="B189" s="30"/>
    </x:row>
    <x:row r="190">
      <x:c r="B190" s="30"/>
    </x:row>
    <x:row r="191">
      <x:c r="B191" s="30"/>
    </x:row>
    <x:row r="192">
      <x:c r="B192" s="30"/>
    </x:row>
    <x:row r="193">
      <x:c r="B193" s="30"/>
    </x:row>
    <x:row r="194">
      <x:c r="B194" s="30"/>
    </x:row>
    <x:row r="195">
      <x:c r="B195" s="30"/>
    </x:row>
    <x:row r="196">
      <x:c r="B196" s="30"/>
    </x:row>
    <x:row r="197">
      <x:c r="B197" s="30"/>
    </x:row>
    <x:row r="198">
      <x:c r="B198" s="30"/>
    </x:row>
    <x:row r="199">
      <x:c r="B199" s="30"/>
    </x:row>
    <x:row r="200">
      <x:c r="B200" s="30"/>
    </x:row>
    <x:row r="201">
      <x:c r="B201" s="30"/>
    </x:row>
    <x:row r="202">
      <x:c r="B202" s="30"/>
    </x:row>
    <x:row r="203">
      <x:c r="B203" s="30"/>
    </x:row>
    <x:row r="204">
      <x:c r="B204" s="30"/>
    </x:row>
    <x:row r="205">
      <x:c r="B205" s="30"/>
    </x:row>
    <x:row r="206">
      <x:c r="B206" s="30"/>
    </x:row>
    <x:row r="207">
      <x:c r="B207" s="30"/>
    </x:row>
    <x:row r="208">
      <x:c r="B208" s="30"/>
    </x:row>
    <x:row r="209">
      <x:c r="B209" s="30"/>
    </x:row>
    <x:row r="210">
      <x:c r="B210" s="30"/>
    </x:row>
    <x:row r="211">
      <x:c r="B211" s="30"/>
    </x:row>
    <x:row r="212">
      <x:c r="B212" s="30"/>
    </x:row>
    <x:row r="213">
      <x:c r="B213" s="30"/>
    </x:row>
    <x:row r="214">
      <x:c r="B214" s="30"/>
    </x:row>
    <x:row r="215">
      <x:c r="B215" s="30"/>
    </x:row>
    <x:row r="216">
      <x:c r="B216" s="30"/>
    </x:row>
    <x:row r="217">
      <x:c r="B217" s="30"/>
    </x:row>
    <x:row r="218">
      <x:c r="B218" s="30"/>
    </x:row>
    <x:row r="219">
      <x:c r="B219" s="30"/>
    </x:row>
    <x:row r="220">
      <x:c r="B220" s="30"/>
    </x:row>
    <x:row r="221">
      <x:c r="B221" s="30"/>
    </x:row>
    <x:row r="222">
      <x:c r="B222" s="30"/>
    </x:row>
    <x:row r="223">
      <x:c r="B223" s="30"/>
    </x:row>
    <x:row r="224">
      <x:c r="B224" s="30"/>
    </x:row>
    <x:row r="225">
      <x:c r="B225" s="30"/>
    </x:row>
    <x:row r="226">
      <x:c r="B226" s="30"/>
    </x:row>
    <x:row r="227">
      <x:c r="B227" s="30"/>
    </x:row>
    <x:row r="228">
      <x:c r="B228" s="30"/>
    </x:row>
    <x:row r="229">
      <x:c r="B229" s="30"/>
    </x:row>
    <x:row r="230">
      <x:c r="B230" s="30"/>
    </x:row>
    <x:row r="231">
      <x:c r="B231" s="30"/>
    </x:row>
    <x:row r="232">
      <x:c r="B232" s="30"/>
    </x:row>
    <x:row r="233">
      <x:c r="B233" s="30"/>
    </x:row>
    <x:row r="234">
      <x:c r="B234" s="30"/>
    </x:row>
    <x:row r="235">
      <x:c r="B235" s="30"/>
    </x:row>
    <x:row r="236">
      <x:c r="B236" s="30"/>
    </x:row>
    <x:row r="237">
      <x:c r="B237" s="30"/>
    </x:row>
    <x:row r="238">
      <x:c r="B238" s="30"/>
    </x:row>
    <x:row r="239">
      <x:c r="B239" s="30"/>
    </x:row>
    <x:row r="240">
      <x:c r="B240" s="30"/>
    </x:row>
    <x:row r="241">
      <x:c r="B241" s="30"/>
    </x:row>
    <x:row r="242">
      <x:c r="B242" s="30"/>
    </x:row>
    <x:row r="243">
      <x:c r="B243" s="30"/>
    </x:row>
    <x:row r="244">
      <x:c r="B244" s="30"/>
    </x:row>
    <x:row r="245">
      <x:c r="B245" s="30"/>
    </x:row>
    <x:row r="246">
      <x:c r="B246" s="30"/>
    </x:row>
    <x:row r="247">
      <x:c r="B247" s="30"/>
    </x:row>
    <x:row r="248">
      <x:c r="B248" s="30"/>
    </x:row>
    <x:row r="249">
      <x:c r="B249" s="30"/>
    </x:row>
    <x:row r="250">
      <x:c r="B250" s="30"/>
    </x:row>
    <x:row r="251">
      <x:c r="B251" s="30"/>
    </x:row>
    <x:row r="252">
      <x:c r="B252" s="30"/>
    </x:row>
    <x:row r="253">
      <x:c r="B253" s="30"/>
    </x:row>
    <x:row r="254">
      <x:c r="B254" s="30"/>
    </x:row>
    <x:row r="255">
      <x:c r="B255" s="30"/>
    </x:row>
    <x:row r="256">
      <x:c r="B256" s="30"/>
    </x:row>
    <x:row r="257">
      <x:c r="B257" s="30"/>
    </x:row>
    <x:row r="258">
      <x:c r="B258" s="30"/>
    </x:row>
    <x:row r="259">
      <x:c r="B259" s="30"/>
    </x:row>
    <x:row r="260">
      <x:c r="B260" s="30"/>
    </x:row>
    <x:row r="261">
      <x:c r="B261" s="30"/>
    </x:row>
    <x:row r="262">
      <x:c r="B262" s="30"/>
    </x:row>
    <x:row r="263">
      <x:c r="B263" s="30"/>
    </x:row>
    <x:row r="264">
      <x:c r="B264" s="30"/>
    </x:row>
    <x:row r="265">
      <x:c r="B265" s="30"/>
    </x:row>
    <x:row r="266">
      <x:c r="B266" s="30"/>
    </x:row>
    <x:row r="267">
      <x:c r="B267" s="30"/>
    </x:row>
    <x:row r="268">
      <x:c r="B268" s="30"/>
    </x:row>
    <x:row r="269">
      <x:c r="B269" s="30"/>
    </x:row>
    <x:row r="270">
      <x:c r="B270" s="30"/>
    </x:row>
    <x:row r="271">
      <x:c r="B271" s="30"/>
    </x:row>
    <x:row r="272">
      <x:c r="B272" s="30"/>
    </x:row>
    <x:row r="273">
      <x:c r="B273" s="30"/>
    </x:row>
    <x:row r="274">
      <x:c r="B274" s="30"/>
    </x:row>
    <x:row r="275">
      <x:c r="B275" s="30"/>
    </x:row>
    <x:row r="276">
      <x:c r="B276" s="30"/>
    </x:row>
    <x:row r="277">
      <x:c r="B277" s="30"/>
    </x:row>
    <x:row r="278">
      <x:c r="B278" s="30"/>
    </x:row>
    <x:row r="279">
      <x:c r="B279" s="30"/>
    </x:row>
    <x:row r="280">
      <x:c r="B280" s="30"/>
    </x:row>
    <x:row r="281">
      <x:c r="B281" s="30"/>
    </x:row>
    <x:row r="282">
      <x:c r="B282" s="30"/>
    </x:row>
    <x:row r="283">
      <x:c r="B283" s="30"/>
    </x:row>
    <x:row r="284">
      <x:c r="B284" s="30"/>
    </x:row>
    <x:row r="285">
      <x:c r="B285" s="30"/>
    </x:row>
    <x:row r="286">
      <x:c r="B286" s="30"/>
    </x:row>
    <x:row r="287">
      <x:c r="B287" s="30"/>
    </x:row>
    <x:row r="288">
      <x:c r="B288" s="30"/>
    </x:row>
    <x:row r="289">
      <x:c r="B289" s="30"/>
    </x:row>
    <x:row r="290">
      <x:c r="B290" s="30"/>
    </x:row>
    <x:row r="291">
      <x:c r="B291" s="30"/>
    </x:row>
    <x:row r="292">
      <x:c r="B292" s="30"/>
    </x:row>
    <x:row r="293">
      <x:c r="B293" s="30"/>
    </x:row>
    <x:row r="294">
      <x:c r="B294" s="30"/>
    </x:row>
    <x:row r="295">
      <x:c r="B295" s="30"/>
    </x:row>
    <x:row r="296">
      <x:c r="B296" s="30"/>
    </x:row>
    <x:row r="297">
      <x:c r="B297" s="30"/>
    </x:row>
    <x:row r="298">
      <x:c r="B298" s="30"/>
    </x:row>
    <x:row r="299">
      <x:c r="B299" s="30"/>
    </x:row>
    <x:row r="300">
      <x:c r="B300" s="30"/>
    </x:row>
    <x:row r="301">
      <x:c r="B301" s="30"/>
    </x:row>
    <x:row r="302">
      <x:c r="B302" s="30"/>
    </x:row>
    <x:row r="303">
      <x:c r="B303" s="30"/>
    </x:row>
    <x:row r="304">
      <x:c r="B304" s="30"/>
    </x:row>
    <x:row r="305">
      <x:c r="B305" s="30"/>
    </x:row>
    <x:row r="306">
      <x:c r="B306" s="30"/>
    </x:row>
    <x:row r="307">
      <x:c r="B307" s="30"/>
    </x:row>
    <x:row r="308">
      <x:c r="B308" s="30"/>
    </x:row>
    <x:row r="309">
      <x:c r="B309" s="30"/>
    </x:row>
    <x:row r="310">
      <x:c r="B310" s="30"/>
    </x:row>
    <x:row r="311">
      <x:c r="B311" s="30"/>
    </x:row>
    <x:row r="312">
      <x:c r="B312" s="30"/>
    </x:row>
    <x:row r="313">
      <x:c r="B313" s="30"/>
    </x:row>
    <x:row r="314">
      <x:c r="B314" s="30"/>
    </x:row>
    <x:row r="315">
      <x:c r="B315" s="30"/>
    </x:row>
    <x:row r="316">
      <x:c r="B316" s="30"/>
    </x:row>
    <x:row r="317">
      <x:c r="B317" s="30"/>
    </x:row>
    <x:row r="318">
      <x:c r="B318" s="30"/>
    </x:row>
    <x:row r="319">
      <x:c r="B319" s="30"/>
    </x:row>
    <x:row r="320">
      <x:c r="B320" s="30"/>
    </x:row>
    <x:row r="321">
      <x:c r="B321" s="30"/>
    </x:row>
    <x:row r="322">
      <x:c r="B322" s="30"/>
    </x:row>
    <x:row r="323">
      <x:c r="B323" s="30"/>
    </x:row>
    <x:row r="324">
      <x:c r="B324" s="30"/>
    </x:row>
    <x:row r="325">
      <x:c r="B325" s="30"/>
    </x:row>
    <x:row r="326">
      <x:c r="B326" s="30"/>
    </x:row>
    <x:row r="327">
      <x:c r="B327" s="30"/>
    </x:row>
    <x:row r="328">
      <x:c r="B328" s="30"/>
    </x:row>
    <x:row r="329">
      <x:c r="B329" s="30"/>
    </x:row>
    <x:row r="330">
      <x:c r="B330" s="30"/>
    </x:row>
    <x:row r="331">
      <x:c r="B331" s="30"/>
    </x:row>
    <x:row r="332">
      <x:c r="B332" s="30"/>
    </x:row>
    <x:row r="333">
      <x:c r="B333" s="30"/>
    </x:row>
    <x:row r="334">
      <x:c r="B334" s="30"/>
    </x:row>
    <x:row r="335">
      <x:c r="B335" s="30"/>
    </x:row>
    <x:row r="336">
      <x:c r="B336" s="30"/>
    </x:row>
    <x:row r="337">
      <x:c r="B337" s="30"/>
    </x:row>
    <x:row r="338">
      <x:c r="B338" s="30"/>
    </x:row>
    <x:row r="339">
      <x:c r="B339" s="30"/>
    </x:row>
    <x:row r="340">
      <x:c r="B340" s="30"/>
    </x:row>
    <x:row r="341">
      <x:c r="B341" s="30"/>
    </x:row>
    <x:row r="342">
      <x:c r="B342" s="30"/>
    </x:row>
    <x:row r="343">
      <x:c r="B343" s="30"/>
    </x:row>
    <x:row r="344">
      <x:c r="B344" s="30"/>
    </x:row>
    <x:row r="345">
      <x:c r="B345" s="30"/>
    </x:row>
    <x:row r="346">
      <x:c r="B346" s="30"/>
    </x:row>
    <x:row r="347">
      <x:c r="B347" s="30"/>
    </x:row>
    <x:row r="348">
      <x:c r="B348" s="30"/>
    </x:row>
    <x:row r="349">
      <x:c r="B349" s="30"/>
    </x:row>
    <x:row r="350">
      <x:c r="B350" s="30"/>
    </x:row>
    <x:row r="351">
      <x:c r="B351" s="30"/>
    </x:row>
    <x:row r="352">
      <x:c r="B352" s="30"/>
    </x:row>
    <x:row r="353">
      <x:c r="B353" s="30"/>
    </x:row>
    <x:row r="354">
      <x:c r="B354" s="30"/>
    </x:row>
    <x:row r="355">
      <x:c r="B355" s="30"/>
    </x:row>
    <x:row r="356">
      <x:c r="B356" s="30"/>
    </x:row>
    <x:row r="357">
      <x:c r="B357" s="30"/>
    </x:row>
    <x:row r="358">
      <x:c r="B358" s="30"/>
    </x:row>
    <x:row r="359">
      <x:c r="B359" s="30"/>
    </x:row>
    <x:row r="360">
      <x:c r="B360" s="30"/>
    </x:row>
    <x:row r="361">
      <x:c r="B361" s="30"/>
    </x:row>
    <x:row r="362">
      <x:c r="B362" s="30"/>
    </x:row>
    <x:row r="363">
      <x:c r="B363" s="30"/>
    </x:row>
    <x:row r="364">
      <x:c r="B364" s="30"/>
    </x:row>
    <x:row r="365">
      <x:c r="B365" s="30"/>
    </x:row>
    <x:row r="366">
      <x:c r="B366" s="30"/>
    </x:row>
    <x:row r="367">
      <x:c r="B367" s="30"/>
    </x:row>
    <x:row r="368">
      <x:c r="B368" s="30"/>
    </x:row>
    <x:row r="369">
      <x:c r="B369" s="30"/>
    </x:row>
    <x:row r="370">
      <x:c r="B370" s="30"/>
    </x:row>
    <x:row r="371">
      <x:c r="B371" s="30"/>
    </x:row>
    <x:row r="372">
      <x:c r="B372" s="30"/>
    </x:row>
    <x:row r="373">
      <x:c r="B373" s="30"/>
    </x:row>
    <x:row r="374">
      <x:c r="B374" s="30"/>
    </x:row>
    <x:row r="375">
      <x:c r="B375" s="30"/>
    </x:row>
    <x:row r="376">
      <x:c r="B376" s="30"/>
    </x:row>
    <x:row r="377">
      <x:c r="B377" s="30"/>
    </x:row>
    <x:row r="378">
      <x:c r="B378" s="30"/>
    </x:row>
    <x:row r="379">
      <x:c r="B379" s="30"/>
    </x:row>
    <x:row r="380">
      <x:c r="B380" s="30"/>
    </x:row>
    <x:row r="381">
      <x:c r="B381" s="30"/>
    </x:row>
    <x:row r="382">
      <x:c r="B382" s="30"/>
    </x:row>
    <x:row r="383">
      <x:c r="B383" s="30"/>
    </x:row>
    <x:row r="384">
      <x:c r="B384" s="30"/>
    </x:row>
    <x:row r="385">
      <x:c r="B385" s="30"/>
    </x:row>
    <x:row r="386">
      <x:c r="B386" s="30"/>
    </x:row>
    <x:row r="387">
      <x:c r="B387" s="30"/>
    </x:row>
    <x:row r="388">
      <x:c r="B388" s="30"/>
    </x:row>
    <x:row r="389">
      <x:c r="B389" s="30"/>
    </x:row>
    <x:row r="390">
      <x:c r="B390" s="30"/>
    </x:row>
    <x:row r="391">
      <x:c r="B391" s="30"/>
    </x:row>
    <x:row r="392">
      <x:c r="B392" s="30"/>
    </x:row>
    <x:row r="393">
      <x:c r="B393" s="30"/>
    </x:row>
    <x:row r="394">
      <x:c r="B394" s="30"/>
    </x:row>
    <x:row r="395">
      <x:c r="B395" s="30"/>
    </x:row>
    <x:row r="396">
      <x:c r="B396" s="30"/>
    </x:row>
    <x:row r="397">
      <x:c r="B397" s="30"/>
    </x:row>
    <x:row r="398">
      <x:c r="B398" s="30"/>
    </x:row>
    <x:row r="399">
      <x:c r="B399" s="30"/>
    </x:row>
    <x:row r="400">
      <x:c r="B400" s="30"/>
    </x:row>
    <x:row r="401">
      <x:c r="B401" s="30"/>
    </x:row>
    <x:row r="402">
      <x:c r="B402" s="30"/>
    </x:row>
    <x:row r="403">
      <x:c r="B403" s="30"/>
    </x:row>
    <x:row r="404">
      <x:c r="B404" s="30"/>
    </x:row>
    <x:row r="405">
      <x:c r="B405" s="30"/>
    </x:row>
    <x:row r="406">
      <x:c r="B406" s="30"/>
    </x:row>
    <x:row r="407">
      <x:c r="B407" s="30"/>
    </x:row>
    <x:row r="408">
      <x:c r="B408" s="30"/>
    </x:row>
    <x:row r="409">
      <x:c r="B409" s="30"/>
    </x:row>
    <x:row r="410">
      <x:c r="B410" s="30"/>
    </x:row>
    <x:row r="411">
      <x:c r="B411" s="30"/>
    </x:row>
    <x:row r="412">
      <x:c r="B412" s="30"/>
    </x:row>
    <x:row r="413">
      <x:c r="B413" s="30"/>
    </x:row>
    <x:row r="414">
      <x:c r="B414" s="30"/>
    </x:row>
    <x:row r="415">
      <x:c r="B415" s="30"/>
    </x:row>
    <x:row r="416">
      <x:c r="B416" s="30"/>
    </x:row>
    <x:row r="417">
      <x:c r="B417" s="30"/>
    </x:row>
    <x:row r="418">
      <x:c r="B418" s="30"/>
    </x:row>
    <x:row r="419">
      <x:c r="B419" s="30"/>
    </x:row>
    <x:row r="420">
      <x:c r="B420" s="30"/>
    </x:row>
    <x:row r="421">
      <x:c r="B421" s="30"/>
    </x:row>
    <x:row r="422">
      <x:c r="B422" s="30"/>
    </x:row>
    <x:row r="423">
      <x:c r="B423" s="30"/>
    </x:row>
    <x:row r="424">
      <x:c r="B424" s="30"/>
    </x:row>
    <x:row r="425">
      <x:c r="B425" s="30"/>
    </x:row>
    <x:row r="426">
      <x:c r="B426" s="30"/>
    </x:row>
    <x:row r="427">
      <x:c r="B427" s="30"/>
    </x:row>
    <x:row r="428">
      <x:c r="B428" s="30"/>
    </x:row>
    <x:row r="429">
      <x:c r="B429" s="30"/>
    </x:row>
    <x:row r="430">
      <x:c r="B430" s="30"/>
    </x:row>
    <x:row r="431">
      <x:c r="B431" s="30"/>
    </x:row>
    <x:row r="432">
      <x:c r="B432" s="30"/>
    </x:row>
    <x:row r="433">
      <x:c r="B433" s="30"/>
    </x:row>
    <x:row r="434">
      <x:c r="B434" s="30"/>
    </x:row>
    <x:row r="435">
      <x:c r="B435" s="30"/>
    </x:row>
    <x:row r="436">
      <x:c r="B436" s="30"/>
    </x:row>
    <x:row r="437">
      <x:c r="B437" s="30"/>
    </x:row>
    <x:row r="438">
      <x:c r="B438" s="30"/>
    </x:row>
    <x:row r="439">
      <x:c r="B439" s="30"/>
    </x:row>
    <x:row r="440">
      <x:c r="B440" s="30"/>
    </x:row>
    <x:row r="441">
      <x:c r="B441" s="30"/>
    </x:row>
    <x:row r="442">
      <x:c r="B442" s="30"/>
    </x:row>
    <x:row r="443">
      <x:c r="B443" s="30"/>
    </x:row>
    <x:row r="444">
      <x:c r="B444" s="30"/>
    </x:row>
    <x:row r="445">
      <x:c r="B445" s="30"/>
    </x:row>
    <x:row r="446">
      <x:c r="B446" s="30"/>
    </x:row>
    <x:row r="447">
      <x:c r="B447" s="30"/>
    </x:row>
    <x:row r="448">
      <x:c r="B448" s="30"/>
    </x:row>
    <x:row r="449">
      <x:c r="B449" s="30"/>
    </x:row>
    <x:row r="450">
      <x:c r="B450" s="30"/>
    </x:row>
    <x:row r="451">
      <x:c r="B451" s="30"/>
    </x:row>
    <x:row r="452">
      <x:c r="B452" s="30"/>
    </x:row>
    <x:row r="453">
      <x:c r="B453" s="30"/>
    </x:row>
    <x:row r="454">
      <x:c r="B454" s="30"/>
    </x:row>
    <x:row r="455">
      <x:c r="B455" s="30"/>
    </x:row>
    <x:row r="456">
      <x:c r="B456" s="30"/>
    </x:row>
    <x:row r="457">
      <x:c r="B457" s="30"/>
    </x:row>
    <x:row r="458">
      <x:c r="B458" s="30"/>
    </x:row>
    <x:row r="459">
      <x:c r="B459" s="30"/>
    </x:row>
    <x:row r="460">
      <x:c r="B460" s="30"/>
    </x:row>
    <x:row r="461">
      <x:c r="B461" s="30"/>
    </x:row>
    <x:row r="462">
      <x:c r="B462" s="30"/>
    </x:row>
    <x:row r="463">
      <x:c r="B463" s="30"/>
    </x:row>
    <x:row r="464">
      <x:c r="B464" s="30"/>
    </x:row>
    <x:row r="465">
      <x:c r="B465" s="30"/>
    </x:row>
    <x:row r="466">
      <x:c r="B466" s="30"/>
    </x:row>
    <x:row r="467">
      <x:c r="B467" s="30"/>
    </x:row>
    <x:row r="468">
      <x:c r="B468" s="30"/>
    </x:row>
    <x:row r="469">
      <x:c r="B469" s="30"/>
    </x:row>
    <x:row r="470">
      <x:c r="B470" s="30"/>
    </x:row>
    <x:row r="471">
      <x:c r="B471" s="30"/>
    </x:row>
    <x:row r="472">
      <x:c r="B472" s="30"/>
    </x:row>
    <x:row r="473">
      <x:c r="B473" s="30"/>
    </x:row>
    <x:row r="474">
      <x:c r="B474" s="30"/>
    </x:row>
    <x:row r="475">
      <x:c r="B475" s="30"/>
    </x:row>
    <x:row r="476">
      <x:c r="B476" s="30"/>
    </x:row>
    <x:row r="477">
      <x:c r="B477" s="30"/>
    </x:row>
    <x:row r="478">
      <x:c r="B478" s="30"/>
    </x:row>
    <x:row r="479">
      <x:c r="B479" s="30"/>
    </x:row>
    <x:row r="480">
      <x:c r="B480" s="30"/>
    </x:row>
    <x:row r="481">
      <x:c r="B481" s="30"/>
    </x:row>
    <x:row r="482">
      <x:c r="B482" s="30"/>
    </x:row>
    <x:row r="483">
      <x:c r="B483" s="30"/>
    </x:row>
    <x:row r="484">
      <x:c r="B484" s="30"/>
    </x:row>
    <x:row r="485">
      <x:c r="B485" s="30"/>
    </x:row>
    <x:row r="486">
      <x:c r="B486" s="30"/>
    </x:row>
    <x:row r="487">
      <x:c r="B487" s="30"/>
    </x:row>
    <x:row r="488">
      <x:c r="B488" s="30"/>
    </x:row>
    <x:row r="489">
      <x:c r="B489" s="30"/>
    </x:row>
    <x:row r="490">
      <x:c r="B490" s="30"/>
    </x:row>
    <x:row r="491">
      <x:c r="B491" s="30"/>
    </x:row>
    <x:row r="492">
      <x:c r="B492" s="30"/>
    </x:row>
    <x:row r="493">
      <x:c r="B493" s="30"/>
    </x:row>
    <x:row r="494">
      <x:c r="B494" s="30"/>
    </x:row>
    <x:row r="495">
      <x:c r="B495" s="30"/>
    </x:row>
    <x:row r="496">
      <x:c r="B496" s="30"/>
    </x:row>
    <x:row r="497">
      <x:c r="B497" s="30"/>
    </x:row>
    <x:row r="498">
      <x:c r="B498" s="30"/>
    </x:row>
    <x:row r="499">
      <x:c r="B499" s="30"/>
    </x:row>
    <x:row r="500">
      <x:c r="B500" s="30"/>
    </x:row>
    <x:row r="501">
      <x:c r="B501" s="30"/>
    </x:row>
    <x:row r="502">
      <x:c r="B502" s="30"/>
    </x:row>
    <x:row r="503">
      <x:c r="B503" s="30"/>
    </x:row>
    <x:row r="504">
      <x:c r="B504" s="30"/>
    </x:row>
    <x:row r="505">
      <x:c r="B505" s="30"/>
    </x:row>
    <x:row r="506">
      <x:c r="B506" s="30"/>
    </x:row>
    <x:row r="507">
      <x:c r="B507" s="30"/>
    </x:row>
    <x:row r="508">
      <x:c r="B508" s="30"/>
    </x:row>
    <x:row r="509">
      <x:c r="B509" s="30"/>
    </x:row>
    <x:row r="510">
      <x:c r="B510" s="30"/>
    </x:row>
    <x:row r="511">
      <x:c r="B511" s="30"/>
    </x:row>
    <x:row r="512">
      <x:c r="B512" s="30"/>
    </x:row>
    <x:row r="513">
      <x:c r="B513" s="30"/>
    </x:row>
    <x:row r="514">
      <x:c r="B514" s="30"/>
    </x:row>
    <x:row r="515">
      <x:c r="B515" s="30"/>
    </x:row>
    <x:row r="516">
      <x:c r="B516" s="30"/>
    </x:row>
    <x:row r="517">
      <x:c r="B517" s="30"/>
    </x:row>
    <x:row r="518">
      <x:c r="B518" s="30"/>
    </x:row>
    <x:row r="519">
      <x:c r="B519" s="30"/>
    </x:row>
    <x:row r="520">
      <x:c r="B520" s="30"/>
    </x:row>
    <x:row r="521">
      <x:c r="B521" s="30"/>
    </x:row>
    <x:row r="522">
      <x:c r="B522" s="30"/>
    </x:row>
    <x:row r="523">
      <x:c r="B523" s="30"/>
    </x:row>
    <x:row r="524">
      <x:c r="B524" s="30"/>
    </x:row>
    <x:row r="525">
      <x:c r="B525" s="30"/>
    </x:row>
    <x:row r="526">
      <x:c r="B526" s="30"/>
    </x:row>
    <x:row r="527">
      <x:c r="B527" s="30"/>
    </x:row>
    <x:row r="528">
      <x:c r="B528" s="30"/>
    </x:row>
    <x:row r="529">
      <x:c r="B529" s="30"/>
    </x:row>
    <x:row r="530">
      <x:c r="B530" s="30"/>
    </x:row>
    <x:row r="531">
      <x:c r="B531" s="30"/>
    </x:row>
    <x:row r="532">
      <x:c r="B532" s="30"/>
    </x:row>
    <x:row r="533">
      <x:c r="B533" s="30"/>
    </x:row>
    <x:row r="534">
      <x:c r="B534" s="30"/>
    </x:row>
    <x:row r="535">
      <x:c r="B535" s="30"/>
    </x:row>
    <x:row r="536">
      <x:c r="B536" s="30"/>
    </x:row>
    <x:row r="537">
      <x:c r="B537" s="30"/>
    </x:row>
    <x:row r="538">
      <x:c r="B538" s="30"/>
    </x:row>
    <x:row r="539">
      <x:c r="B539" s="30"/>
    </x:row>
    <x:row r="540">
      <x:c r="B540" s="30"/>
    </x:row>
    <x:row r="541">
      <x:c r="B541" s="30"/>
    </x:row>
    <x:row r="542">
      <x:c r="B542" s="30"/>
    </x:row>
    <x:row r="543">
      <x:c r="B543" s="30"/>
    </x:row>
    <x:row r="544">
      <x:c r="B544" s="30"/>
    </x:row>
    <x:row r="545">
      <x:c r="B545" s="30"/>
    </x:row>
    <x:row r="546">
      <x:c r="B546" s="30"/>
    </x:row>
    <x:row r="547">
      <x:c r="B547" s="30"/>
    </x:row>
    <x:row r="548">
      <x:c r="B548" s="30"/>
    </x:row>
    <x:row r="549">
      <x:c r="B549" s="30"/>
    </x:row>
    <x:row r="550">
      <x:c r="B550" s="30"/>
    </x:row>
    <x:row r="551">
      <x:c r="B551" s="30"/>
    </x:row>
    <x:row r="552">
      <x:c r="B552" s="30"/>
    </x:row>
    <x:row r="553">
      <x:c r="B553" s="30"/>
    </x:row>
    <x:row r="554">
      <x:c r="B554" s="30"/>
    </x:row>
    <x:row r="555">
      <x:c r="B555" s="30"/>
    </x:row>
    <x:row r="556">
      <x:c r="B556" s="30"/>
    </x:row>
    <x:row r="557">
      <x:c r="B557" s="30"/>
    </x:row>
    <x:row r="558">
      <x:c r="B558" s="30"/>
    </x:row>
    <x:row r="559">
      <x:c r="B559" s="30"/>
    </x:row>
    <x:row r="560">
      <x:c r="B560" s="30"/>
    </x:row>
    <x:row r="561">
      <x:c r="B561" s="30"/>
    </x:row>
    <x:row r="562">
      <x:c r="B562" s="30"/>
    </x:row>
    <x:row r="563">
      <x:c r="B563" s="30"/>
    </x:row>
    <x:row r="564">
      <x:c r="B564" s="30"/>
    </x:row>
    <x:row r="565">
      <x:c r="B565" s="30"/>
    </x:row>
    <x:row r="566">
      <x:c r="B566" s="30"/>
    </x:row>
    <x:row r="567">
      <x:c r="B567" s="30"/>
    </x:row>
    <x:row r="568">
      <x:c r="B568" s="30"/>
    </x:row>
    <x:row r="569">
      <x:c r="B569" s="30"/>
    </x:row>
    <x:row r="570">
      <x:c r="B570" s="30"/>
    </x:row>
    <x:row r="571">
      <x:c r="B571" s="30"/>
    </x:row>
    <x:row r="572">
      <x:c r="B572" s="30"/>
    </x:row>
    <x:row r="573">
      <x:c r="B573" s="30"/>
    </x:row>
    <x:row r="574">
      <x:c r="B574" s="30"/>
    </x:row>
    <x:row r="575">
      <x:c r="B575" s="30"/>
    </x:row>
    <x:row r="576">
      <x:c r="B576" s="30"/>
    </x:row>
    <x:row r="577">
      <x:c r="B577" s="30"/>
    </x:row>
    <x:row r="578">
      <x:c r="B578" s="30"/>
    </x:row>
    <x:row r="579">
      <x:c r="B579" s="30"/>
    </x:row>
    <x:row r="580">
      <x:c r="B580" s="30"/>
    </x:row>
    <x:row r="581">
      <x:c r="B581" s="30"/>
    </x:row>
    <x:row r="582">
      <x:c r="B582" s="30"/>
    </x:row>
    <x:row r="583">
      <x:c r="B583" s="30"/>
    </x:row>
    <x:row r="584">
      <x:c r="B584" s="30"/>
    </x:row>
    <x:row r="585">
      <x:c r="B585" s="30"/>
    </x:row>
    <x:row r="586">
      <x:c r="B586" s="30"/>
    </x:row>
    <x:row r="587">
      <x:c r="B587" s="30"/>
    </x:row>
    <x:row r="588">
      <x:c r="B588" s="30"/>
    </x:row>
    <x:row r="589">
      <x:c r="B589" s="30"/>
    </x:row>
    <x:row r="590">
      <x:c r="B590" s="30"/>
    </x:row>
    <x:row r="591">
      <x:c r="B591" s="30"/>
    </x:row>
    <x:row r="592">
      <x:c r="B592" s="30"/>
    </x:row>
    <x:row r="593">
      <x:c r="B593" s="30"/>
    </x:row>
    <x:row r="594">
      <x:c r="B594" s="30"/>
    </x:row>
    <x:row r="595">
      <x:c r="B595" s="30"/>
    </x:row>
    <x:row r="596">
      <x:c r="B596" s="30"/>
    </x:row>
    <x:row r="597">
      <x:c r="B597" s="30"/>
    </x:row>
    <x:row r="598">
      <x:c r="B598" s="30"/>
    </x:row>
    <x:row r="599">
      <x:c r="B599" s="30"/>
    </x:row>
    <x:row r="600">
      <x:c r="B600" s="30"/>
    </x:row>
    <x:row r="601">
      <x:c r="B601" s="30"/>
    </x:row>
    <x:row r="602">
      <x:c r="B602" s="30"/>
    </x:row>
    <x:row r="603">
      <x:c r="B603" s="30"/>
    </x:row>
    <x:row r="604">
      <x:c r="B604" s="30"/>
    </x:row>
    <x:row r="605">
      <x:c r="B605" s="30"/>
    </x:row>
    <x:row r="606">
      <x:c r="B606" s="30"/>
    </x:row>
    <x:row r="607">
      <x:c r="B607" s="30"/>
    </x:row>
    <x:row r="608">
      <x:c r="B608" s="30"/>
    </x:row>
    <x:row r="609">
      <x:c r="B609" s="30"/>
    </x:row>
    <x:row r="610">
      <x:c r="B610" s="30"/>
    </x:row>
    <x:row r="611">
      <x:c r="B611" s="30"/>
    </x:row>
    <x:row r="612">
      <x:c r="B612" s="30"/>
    </x:row>
    <x:row r="613">
      <x:c r="B613" s="30"/>
    </x:row>
    <x:row r="614">
      <x:c r="B614" s="30"/>
    </x:row>
    <x:row r="615">
      <x:c r="B615" s="30"/>
    </x:row>
    <x:row r="616">
      <x:c r="B616" s="30"/>
    </x:row>
    <x:row r="617">
      <x:c r="B617" s="30"/>
    </x:row>
    <x:row r="618">
      <x:c r="B618" s="30"/>
    </x:row>
    <x:row r="619">
      <x:c r="B619" s="30"/>
    </x:row>
    <x:row r="620">
      <x:c r="B620" s="30"/>
    </x:row>
    <x:row r="621">
      <x:c r="B621" s="30"/>
    </x:row>
    <x:row r="622">
      <x:c r="B622" s="30"/>
    </x:row>
    <x:row r="623">
      <x:c r="B623" s="30"/>
    </x:row>
    <x:row r="624">
      <x:c r="B624" s="30"/>
    </x:row>
    <x:row r="625">
      <x:c r="B625" s="30"/>
    </x:row>
    <x:row r="626">
      <x:c r="B626" s="30"/>
    </x:row>
    <x:row r="627">
      <x:c r="B627" s="30"/>
    </x:row>
    <x:row r="628">
      <x:c r="B628" s="30"/>
    </x:row>
    <x:row r="629">
      <x:c r="B629" s="30"/>
    </x:row>
    <x:row r="630">
      <x:c r="B630" s="30"/>
    </x:row>
    <x:row r="631">
      <x:c r="B631" s="30"/>
    </x:row>
    <x:row r="632">
      <x:c r="B632" s="30"/>
    </x:row>
    <x:row r="633">
      <x:c r="B633" s="30"/>
    </x:row>
    <x:row r="634">
      <x:c r="B634" s="30"/>
    </x:row>
    <x:row r="635">
      <x:c r="B635" s="30"/>
    </x:row>
    <x:row r="636">
      <x:c r="B636" s="30"/>
    </x:row>
    <x:row r="637">
      <x:c r="B637" s="30"/>
    </x:row>
    <x:row r="638">
      <x:c r="B638" s="30"/>
    </x:row>
    <x:row r="639">
      <x:c r="B639" s="30"/>
    </x:row>
    <x:row r="640">
      <x:c r="B640" s="30"/>
    </x:row>
    <x:row r="641">
      <x:c r="B641" s="30"/>
    </x:row>
    <x:row r="642">
      <x:c r="B642" s="30"/>
    </x:row>
    <x:row r="643">
      <x:c r="B643" s="30"/>
    </x:row>
    <x:row r="644">
      <x:c r="B644" s="30"/>
    </x:row>
    <x:row r="645">
      <x:c r="B645" s="30"/>
    </x:row>
    <x:row r="646">
      <x:c r="B646" s="30"/>
    </x:row>
    <x:row r="647">
      <x:c r="B647" s="30"/>
    </x:row>
    <x:row r="648">
      <x:c r="B648" s="30"/>
    </x:row>
    <x:row r="649">
      <x:c r="B649" s="30"/>
    </x:row>
    <x:row r="650">
      <x:c r="B650" s="30"/>
    </x:row>
    <x:row r="651">
      <x:c r="B651" s="30"/>
    </x:row>
    <x:row r="652">
      <x:c r="B652" s="30"/>
    </x:row>
    <x:row r="653">
      <x:c r="B653" s="30"/>
    </x:row>
    <x:row r="654">
      <x:c r="B654" s="30"/>
    </x:row>
    <x:row r="655">
      <x:c r="B655" s="30"/>
    </x:row>
    <x:row r="656">
      <x:c r="B656" s="30"/>
    </x:row>
    <x:row r="657">
      <x:c r="B657" s="30"/>
    </x:row>
    <x:row r="658">
      <x:c r="B658" s="30"/>
    </x:row>
    <x:row r="659">
      <x:c r="B659" s="30"/>
    </x:row>
    <x:row r="660">
      <x:c r="B660" s="30"/>
    </x:row>
    <x:row r="661">
      <x:c r="B661" s="30"/>
    </x:row>
    <x:row r="662">
      <x:c r="B662" s="30"/>
    </x:row>
    <x:row r="663">
      <x:c r="B663" s="30"/>
    </x:row>
    <x:row r="664">
      <x:c r="B664" s="30"/>
    </x:row>
    <x:row r="665">
      <x:c r="B665" s="30"/>
    </x:row>
    <x:row r="666">
      <x:c r="B666" s="30"/>
    </x:row>
    <x:row r="667">
      <x:c r="B667" s="30"/>
    </x:row>
    <x:row r="668">
      <x:c r="B668" s="30"/>
    </x:row>
    <x:row r="669">
      <x:c r="B669" s="30"/>
    </x:row>
    <x:row r="670">
      <x:c r="B670" s="30"/>
    </x:row>
    <x:row r="671">
      <x:c r="B671" s="30"/>
    </x:row>
    <x:row r="672">
      <x:c r="B672" s="30"/>
    </x:row>
    <x:row r="673">
      <x:c r="B673" s="30"/>
    </x:row>
    <x:row r="674">
      <x:c r="B674" s="30"/>
    </x:row>
    <x:row r="675">
      <x:c r="B675" s="30"/>
    </x:row>
    <x:row r="676">
      <x:c r="B676" s="30"/>
    </x:row>
    <x:row r="677">
      <x:c r="B677" s="30"/>
    </x:row>
    <x:row r="678">
      <x:c r="B678" s="30"/>
    </x:row>
    <x:row r="679">
      <x:c r="B679" s="30"/>
    </x:row>
    <x:row r="680">
      <x:c r="B680" s="30"/>
    </x:row>
    <x:row r="681">
      <x:c r="B681" s="30"/>
    </x:row>
    <x:row r="682">
      <x:c r="B682" s="30"/>
    </x:row>
    <x:row r="683">
      <x:c r="B683" s="30"/>
    </x:row>
    <x:row r="684">
      <x:c r="B684" s="30"/>
    </x:row>
    <x:row r="685">
      <x:c r="B685" s="30"/>
    </x:row>
    <x:row r="686">
      <x:c r="B686" s="30"/>
    </x:row>
    <x:row r="687">
      <x:c r="B687" s="30"/>
    </x:row>
    <x:row r="688">
      <x:c r="B688" s="30"/>
    </x:row>
    <x:row r="689">
      <x:c r="B689" s="30"/>
    </x:row>
    <x:row r="690">
      <x:c r="B690" s="30"/>
    </x:row>
    <x:row r="691">
      <x:c r="B691" s="30"/>
    </x:row>
    <x:row r="692">
      <x:c r="B692" s="30"/>
    </x:row>
    <x:row r="693">
      <x:c r="B693" s="30"/>
    </x:row>
    <x:row r="694">
      <x:c r="B694" s="30"/>
    </x:row>
    <x:row r="695">
      <x:c r="B695" s="30"/>
    </x:row>
    <x:row r="696">
      <x:c r="B696" s="30"/>
    </x:row>
    <x:row r="697">
      <x:c r="B697" s="30"/>
    </x:row>
    <x:row r="698">
      <x:c r="B698" s="30"/>
    </x:row>
    <x:row r="699">
      <x:c r="B699" s="30"/>
    </x:row>
    <x:row r="700">
      <x:c r="B700" s="30"/>
    </x:row>
    <x:row r="701">
      <x:c r="B701" s="30"/>
    </x:row>
    <x:row r="702">
      <x:c r="B702" s="30"/>
    </x:row>
    <x:row r="703">
      <x:c r="B703" s="30"/>
    </x:row>
    <x:row r="704">
      <x:c r="B704" s="30"/>
    </x:row>
    <x:row r="705">
      <x:c r="B705" s="30"/>
    </x:row>
    <x:row r="706">
      <x:c r="B706" s="30"/>
    </x:row>
    <x:row r="707">
      <x:c r="B707" s="30"/>
    </x:row>
    <x:row r="708">
      <x:c r="B708" s="30"/>
    </x:row>
    <x:row r="709">
      <x:c r="B709" s="30"/>
    </x:row>
    <x:row r="710">
      <x:c r="B710" s="30"/>
    </x:row>
    <x:row r="711">
      <x:c r="B711" s="30"/>
    </x:row>
    <x:row r="712">
      <x:c r="B712" s="30"/>
    </x:row>
    <x:row r="713">
      <x:c r="B713" s="30"/>
    </x:row>
    <x:row r="714">
      <x:c r="B714" s="30"/>
    </x:row>
    <x:row r="715">
      <x:c r="B715" s="30"/>
    </x:row>
    <x:row r="716">
      <x:c r="B716" s="30"/>
    </x:row>
    <x:row r="717">
      <x:c r="B717" s="30"/>
    </x:row>
    <x:row r="718">
      <x:c r="B718" s="30"/>
    </x:row>
    <x:row r="719">
      <x:c r="B719" s="30"/>
    </x:row>
    <x:row r="720">
      <x:c r="B720" s="30"/>
    </x:row>
    <x:row r="721">
      <x:c r="B721" s="30"/>
    </x:row>
    <x:row r="722">
      <x:c r="B722" s="30"/>
    </x:row>
    <x:row r="723">
      <x:c r="B723" s="30"/>
    </x:row>
    <x:row r="724">
      <x:c r="B724" s="30"/>
    </x:row>
    <x:row r="725">
      <x:c r="B725" s="30"/>
    </x:row>
    <x:row r="726">
      <x:c r="B726" s="30"/>
    </x:row>
    <x:row r="727">
      <x:c r="B727" s="30"/>
    </x:row>
    <x:row r="728">
      <x:c r="B728" s="30"/>
    </x:row>
    <x:row r="729">
      <x:c r="B729" s="30"/>
    </x:row>
    <x:row r="730">
      <x:c r="B730" s="30"/>
    </x:row>
    <x:row r="731">
      <x:c r="B731" s="30"/>
    </x:row>
    <x:row r="732">
      <x:c r="B732" s="30"/>
    </x:row>
    <x:row r="733">
      <x:c r="B733" s="30"/>
    </x:row>
    <x:row r="734">
      <x:c r="B734" s="30"/>
    </x:row>
    <x:row r="735">
      <x:c r="B735" s="30"/>
    </x:row>
    <x:row r="736">
      <x:c r="B736" s="30"/>
    </x:row>
    <x:row r="737">
      <x:c r="B737" s="30"/>
    </x:row>
    <x:row r="738">
      <x:c r="B738" s="30"/>
    </x:row>
    <x:row r="739">
      <x:c r="B739" s="30"/>
    </x:row>
    <x:row r="740">
      <x:c r="B740" s="30"/>
    </x:row>
    <x:row r="741">
      <x:c r="B741" s="30"/>
    </x:row>
    <x:row r="742">
      <x:c r="B742" s="30"/>
    </x:row>
    <x:row r="743">
      <x:c r="B743" s="30"/>
    </x:row>
    <x:row r="744">
      <x:c r="B744" s="30"/>
    </x:row>
    <x:row r="745">
      <x:c r="B745" s="30"/>
    </x:row>
    <x:row r="746">
      <x:c r="B746" s="30"/>
    </x:row>
    <x:row r="747">
      <x:c r="B747" s="30"/>
    </x:row>
    <x:row r="748">
      <x:c r="B748" s="30"/>
    </x:row>
    <x:row r="749">
      <x:c r="B749" s="30"/>
    </x:row>
    <x:row r="750">
      <x:c r="B750" s="30"/>
    </x:row>
    <x:row r="751">
      <x:c r="B751" s="30"/>
    </x:row>
    <x:row r="752">
      <x:c r="B752" s="30"/>
    </x:row>
    <x:row r="753">
      <x:c r="B753" s="30"/>
    </x:row>
    <x:row r="754">
      <x:c r="B754" s="30"/>
    </x:row>
    <x:row r="755">
      <x:c r="B755" s="30"/>
    </x:row>
    <x:row r="756">
      <x:c r="B756" s="30"/>
    </x:row>
    <x:row r="757">
      <x:c r="B757" s="30"/>
    </x:row>
    <x:row r="758">
      <x:c r="B758" s="30"/>
    </x:row>
    <x:row r="759">
      <x:c r="B759" s="30"/>
    </x:row>
    <x:row r="760">
      <x:c r="B760" s="30"/>
    </x:row>
    <x:row r="761">
      <x:c r="B761" s="30"/>
    </x:row>
    <x:row r="762">
      <x:c r="B762" s="30"/>
    </x:row>
    <x:row r="763">
      <x:c r="B763" s="30"/>
    </x:row>
    <x:row r="764">
      <x:c r="B764" s="30"/>
    </x:row>
    <x:row r="765">
      <x:c r="B765" s="30"/>
    </x:row>
    <x:row r="766">
      <x:c r="B766" s="30"/>
    </x:row>
    <x:row r="767">
      <x:c r="B767" s="30"/>
    </x:row>
    <x:row r="768">
      <x:c r="B768" s="30"/>
    </x:row>
    <x:row r="769">
      <x:c r="B769" s="30"/>
    </x:row>
    <x:row r="770">
      <x:c r="B770" s="30"/>
    </x:row>
    <x:row r="771">
      <x:c r="B771" s="30"/>
    </x:row>
    <x:row r="772">
      <x:c r="B772" s="30"/>
    </x:row>
    <x:row r="773">
      <x:c r="B773" s="30"/>
    </x:row>
    <x:row r="774">
      <x:c r="B774" s="30"/>
    </x:row>
    <x:row r="775">
      <x:c r="B775" s="30"/>
    </x:row>
    <x:row r="776">
      <x:c r="B776" s="30"/>
    </x:row>
    <x:row r="777">
      <x:c r="B777" s="30"/>
    </x:row>
    <x:row r="778">
      <x:c r="B778" s="30"/>
    </x:row>
    <x:row r="779">
      <x:c r="B779" s="30"/>
    </x:row>
    <x:row r="780">
      <x:c r="B780" s="30"/>
    </x:row>
    <x:row r="781">
      <x:c r="B781" s="30"/>
    </x:row>
    <x:row r="782">
      <x:c r="B782" s="30"/>
    </x:row>
    <x:row r="783">
      <x:c r="B783" s="30"/>
    </x:row>
    <x:row r="784">
      <x:c r="B784" s="30"/>
    </x:row>
    <x:row r="785">
      <x:c r="B785" s="30"/>
    </x:row>
    <x:row r="786">
      <x:c r="B786" s="30"/>
    </x:row>
    <x:row r="787">
      <x:c r="B787" s="30"/>
    </x:row>
    <x:row r="788">
      <x:c r="B788" s="30"/>
    </x:row>
    <x:row r="789">
      <x:c r="B789" s="30"/>
    </x:row>
    <x:row r="790">
      <x:c r="B790" s="30"/>
    </x:row>
    <x:row r="791">
      <x:c r="B791" s="30"/>
    </x:row>
    <x:row r="792">
      <x:c r="B792" s="30"/>
    </x:row>
    <x:row r="793">
      <x:c r="B793" s="30"/>
    </x:row>
    <x:row r="794">
      <x:c r="B794" s="30"/>
    </x:row>
    <x:row r="795">
      <x:c r="B795" s="30"/>
    </x:row>
    <x:row r="796">
      <x:c r="B796" s="30"/>
    </x:row>
    <x:row r="797">
      <x:c r="B797" s="30"/>
    </x:row>
    <x:row r="798">
      <x:c r="B798" s="30"/>
    </x:row>
    <x:row r="799">
      <x:c r="B799" s="30"/>
    </x:row>
    <x:row r="800">
      <x:c r="B800" s="30"/>
    </x:row>
    <x:row r="801">
      <x:c r="B801" s="30"/>
    </x:row>
    <x:row r="802">
      <x:c r="B802" s="30"/>
    </x:row>
    <x:row r="803">
      <x:c r="B803" s="30"/>
    </x:row>
    <x:row r="804">
      <x:c r="B804" s="30"/>
    </x:row>
    <x:row r="805">
      <x:c r="B805" s="30"/>
    </x:row>
    <x:row r="806">
      <x:c r="B806" s="30"/>
    </x:row>
    <x:row r="807">
      <x:c r="B807" s="30"/>
    </x:row>
    <x:row r="808">
      <x:c r="B808" s="30"/>
    </x:row>
    <x:row r="809">
      <x:c r="B809" s="30"/>
    </x:row>
    <x:row r="810">
      <x:c r="B810" s="30"/>
    </x:row>
    <x:row r="811">
      <x:c r="B811" s="30"/>
    </x:row>
    <x:row r="812">
      <x:c r="B812" s="30"/>
    </x:row>
    <x:row r="813">
      <x:c r="B813" s="30"/>
    </x:row>
    <x:row r="814">
      <x:c r="B814" s="30"/>
    </x:row>
    <x:row r="815">
      <x:c r="B815" s="30"/>
    </x:row>
    <x:row r="816">
      <x:c r="B816" s="30"/>
    </x:row>
    <x:row r="817">
      <x:c r="B817" s="30"/>
    </x:row>
    <x:row r="818">
      <x:c r="B818" s="30"/>
    </x:row>
    <x:row r="819">
      <x:c r="B819" s="30"/>
    </x:row>
    <x:row r="820">
      <x:c r="B820" s="30"/>
    </x:row>
    <x:row r="821">
      <x:c r="B821" s="30"/>
    </x:row>
    <x:row r="822">
      <x:c r="B822" s="30"/>
    </x:row>
    <x:row r="823">
      <x:c r="B823" s="30"/>
    </x:row>
    <x:row r="824">
      <x:c r="B824" s="30"/>
    </x:row>
    <x:row r="825">
      <x:c r="B825" s="30"/>
    </x:row>
    <x:row r="826">
      <x:c r="B826" s="30"/>
    </x:row>
    <x:row r="827">
      <x:c r="B827" s="30"/>
    </x:row>
    <x:row r="828">
      <x:c r="B828" s="30"/>
    </x:row>
    <x:row r="829">
      <x:c r="B829" s="30"/>
    </x:row>
    <x:row r="830">
      <x:c r="B830" s="30"/>
    </x:row>
    <x:row r="831">
      <x:c r="B831" s="30"/>
    </x:row>
    <x:row r="832">
      <x:c r="B832" s="30"/>
    </x:row>
    <x:row r="833">
      <x:c r="B833" s="30"/>
    </x:row>
    <x:row r="834">
      <x:c r="B834" s="30"/>
    </x:row>
    <x:row r="835">
      <x:c r="B835" s="30"/>
    </x:row>
    <x:row r="836">
      <x:c r="B836" s="30"/>
    </x:row>
    <x:row r="837">
      <x:c r="B837" s="30"/>
    </x:row>
    <x:row r="838">
      <x:c r="B838" s="30"/>
    </x:row>
    <x:row r="839">
      <x:c r="B839" s="30"/>
    </x:row>
    <x:row r="840">
      <x:c r="B840" s="30"/>
    </x:row>
    <x:row r="841">
      <x:c r="B841" s="30"/>
    </x:row>
    <x:row r="842">
      <x:c r="B842" s="30"/>
    </x:row>
    <x:row r="843">
      <x:c r="B843" s="30"/>
    </x:row>
    <x:row r="844">
      <x:c r="B844" s="30"/>
    </x:row>
    <x:row r="845">
      <x:c r="B845" s="30"/>
    </x:row>
    <x:row r="846">
      <x:c r="B846" s="30"/>
    </x:row>
    <x:row r="847">
      <x:c r="B847" s="30"/>
    </x:row>
    <x:row r="848">
      <x:c r="B848" s="30"/>
    </x:row>
    <x:row r="849">
      <x:c r="B849" s="30"/>
    </x:row>
    <x:row r="850">
      <x:c r="B850" s="30"/>
    </x:row>
    <x:row r="851">
      <x:c r="B851" s="30"/>
    </x:row>
    <x:row r="852">
      <x:c r="B852" s="30"/>
    </x:row>
    <x:row r="853">
      <x:c r="B853" s="30"/>
    </x:row>
    <x:row r="854">
      <x:c r="B854" s="30"/>
    </x:row>
    <x:row r="855">
      <x:c r="B855" s="30"/>
    </x:row>
    <x:row r="856">
      <x:c r="B856" s="30"/>
    </x:row>
    <x:row r="857">
      <x:c r="B857" s="30"/>
    </x:row>
    <x:row r="858">
      <x:c r="B858" s="30"/>
    </x:row>
    <x:row r="859">
      <x:c r="B859" s="30"/>
    </x:row>
    <x:row r="860">
      <x:c r="B860" s="30"/>
    </x:row>
    <x:row r="861">
      <x:c r="B861" s="30"/>
    </x:row>
    <x:row r="862">
      <x:c r="B862" s="30"/>
    </x:row>
    <x:row r="863">
      <x:c r="B863" s="30"/>
    </x:row>
    <x:row r="864">
      <x:c r="B864" s="30"/>
    </x:row>
    <x:row r="865">
      <x:c r="B865" s="30"/>
    </x:row>
    <x:row r="866">
      <x:c r="B866" s="30"/>
    </x:row>
    <x:row r="867">
      <x:c r="B867" s="30"/>
    </x:row>
    <x:row r="868">
      <x:c r="B868" s="30"/>
    </x:row>
    <x:row r="869">
      <x:c r="B869" s="30"/>
    </x:row>
    <x:row r="870">
      <x:c r="B870" s="30"/>
    </x:row>
    <x:row r="871">
      <x:c r="B871" s="30"/>
    </x:row>
    <x:row r="872">
      <x:c r="B872" s="30"/>
    </x:row>
    <x:row r="873">
      <x:c r="B873" s="30"/>
    </x:row>
    <x:row r="874">
      <x:c r="B874" s="30"/>
    </x:row>
    <x:row r="875">
      <x:c r="B875" s="30"/>
    </x:row>
    <x:row r="876">
      <x:c r="B876" s="30"/>
    </x:row>
    <x:row r="877">
      <x:c r="B877" s="30"/>
    </x:row>
    <x:row r="878">
      <x:c r="B878" s="30"/>
    </x:row>
    <x:row r="879">
      <x:c r="B879" s="30"/>
    </x:row>
    <x:row r="880">
      <x:c r="B880" s="30"/>
    </x:row>
    <x:row r="881">
      <x:c r="B881" s="30"/>
    </x:row>
    <x:row r="882">
      <x:c r="B882" s="30"/>
    </x:row>
    <x:row r="883">
      <x:c r="B883" s="30"/>
    </x:row>
    <x:row r="884">
      <x:c r="B884" s="30"/>
    </x:row>
    <x:row r="885">
      <x:c r="B885" s="30"/>
    </x:row>
    <x:row r="886">
      <x:c r="B886" s="30"/>
    </x:row>
    <x:row r="887">
      <x:c r="B887" s="30"/>
    </x:row>
    <x:row r="888">
      <x:c r="B888" s="30"/>
    </x:row>
    <x:row r="889">
      <x:c r="B889" s="30"/>
    </x:row>
    <x:row r="890">
      <x:c r="B890" s="30"/>
    </x:row>
    <x:row r="891">
      <x:c r="B891" s="30"/>
    </x:row>
    <x:row r="892">
      <x:c r="B892" s="30"/>
    </x:row>
    <x:row r="893">
      <x:c r="B893" s="30"/>
    </x:row>
    <x:row r="894">
      <x:c r="B894" s="30"/>
    </x:row>
    <x:row r="895">
      <x:c r="B895" s="30"/>
    </x:row>
    <x:row r="896">
      <x:c r="B896" s="30"/>
    </x:row>
    <x:row r="897">
      <x:c r="B897" s="30"/>
    </x:row>
    <x:row r="898">
      <x:c r="B898" s="30"/>
    </x:row>
    <x:row r="899">
      <x:c r="B899" s="30"/>
    </x:row>
    <x:row r="900">
      <x:c r="B900" s="30"/>
    </x:row>
    <x:row r="901">
      <x:c r="B901" s="30"/>
    </x:row>
    <x:row r="902">
      <x:c r="B902" s="30"/>
    </x:row>
    <x:row r="903">
      <x:c r="B903" s="30"/>
    </x:row>
    <x:row r="904">
      <x:c r="B904" s="30"/>
    </x:row>
    <x:row r="905">
      <x:c r="B905" s="30"/>
    </x:row>
    <x:row r="906">
      <x:c r="B906" s="30"/>
    </x:row>
    <x:row r="907">
      <x:c r="B907" s="30"/>
    </x:row>
    <x:row r="908">
      <x:c r="B908" s="30"/>
    </x:row>
    <x:row r="909">
      <x:c r="B909" s="30"/>
    </x:row>
    <x:row r="910">
      <x:c r="B910" s="30"/>
    </x:row>
    <x:row r="911">
      <x:c r="B911" s="30"/>
    </x:row>
    <x:row r="912">
      <x:c r="B912" s="30"/>
    </x:row>
    <x:row r="913">
      <x:c r="B913" s="30"/>
    </x:row>
    <x:row r="914">
      <x:c r="B914" s="30"/>
    </x:row>
    <x:row r="915">
      <x:c r="B915" s="30"/>
    </x:row>
    <x:row r="916">
      <x:c r="B916" s="30"/>
    </x:row>
    <x:row r="917">
      <x:c r="B917" s="30"/>
    </x:row>
    <x:row r="918">
      <x:c r="B918" s="30"/>
    </x:row>
    <x:row r="919">
      <x:c r="B919" s="30"/>
    </x:row>
    <x:row r="920">
      <x:c r="B920" s="30"/>
    </x:row>
    <x:row r="921">
      <x:c r="B921" s="30"/>
    </x:row>
    <x:row r="922">
      <x:c r="B922" s="30"/>
    </x:row>
    <x:row r="923">
      <x:c r="B923" s="30"/>
    </x:row>
    <x:row r="924">
      <x:c r="B924" s="30"/>
    </x:row>
    <x:row r="925">
      <x:c r="B925" s="30"/>
    </x:row>
    <x:row r="926">
      <x:c r="B926" s="30"/>
    </x:row>
    <x:row r="927">
      <x:c r="B927" s="30"/>
    </x:row>
    <x:row r="928">
      <x:c r="B928" s="30"/>
    </x:row>
    <x:row r="929">
      <x:c r="B929" s="30"/>
    </x:row>
    <x:row r="930">
      <x:c r="B930" s="30"/>
    </x:row>
    <x:row r="931">
      <x:c r="B931" s="30"/>
    </x:row>
    <x:row r="932">
      <x:c r="B932" s="30"/>
    </x:row>
    <x:row r="933">
      <x:c r="B933" s="30"/>
    </x:row>
    <x:row r="934">
      <x:c r="B934" s="30"/>
    </x:row>
    <x:row r="935">
      <x:c r="B935" s="30"/>
    </x:row>
    <x:row r="936">
      <x:c r="B936" s="30"/>
    </x:row>
    <x:row r="937">
      <x:c r="B937" s="30"/>
    </x:row>
    <x:row r="938">
      <x:c r="B938" s="30"/>
    </x:row>
    <x:row r="939">
      <x:c r="B939" s="30"/>
    </x:row>
    <x:row r="940">
      <x:c r="B940" s="30"/>
    </x:row>
    <x:row r="941">
      <x:c r="B941" s="30"/>
    </x:row>
    <x:row r="942">
      <x:c r="B942" s="30"/>
    </x:row>
    <x:row r="943">
      <x:c r="B943" s="30"/>
    </x:row>
    <x:row r="944">
      <x:c r="B944" s="30"/>
    </x:row>
    <x:row r="945">
      <x:c r="B945" s="30"/>
    </x:row>
    <x:row r="946">
      <x:c r="B946" s="30"/>
    </x:row>
    <x:row r="947">
      <x:c r="B947" s="30"/>
    </x:row>
    <x:row r="948">
      <x:c r="B948" s="30"/>
    </x:row>
    <x:row r="949">
      <x:c r="B949" s="30"/>
    </x:row>
    <x:row r="950">
      <x:c r="B950" s="30"/>
    </x:row>
    <x:row r="951">
      <x:c r="B951" s="30"/>
    </x:row>
    <x:row r="952">
      <x:c r="B952" s="30"/>
    </x:row>
    <x:row r="953">
      <x:c r="B953" s="30"/>
    </x:row>
    <x:row r="954">
      <x:c r="B954" s="30"/>
    </x:row>
    <x:row r="955">
      <x:c r="B955" s="30"/>
    </x:row>
    <x:row r="956">
      <x:c r="B956" s="30"/>
    </x:row>
    <x:row r="957">
      <x:c r="B957" s="30"/>
    </x:row>
    <x:row r="958">
      <x:c r="B958" s="30"/>
    </x:row>
    <x:row r="959">
      <x:c r="B959" s="30"/>
    </x:row>
    <x:row r="960">
      <x:c r="B960" s="30"/>
    </x:row>
    <x:row r="961">
      <x:c r="B961" s="30"/>
    </x:row>
    <x:row r="962">
      <x:c r="B962" s="30"/>
    </x:row>
    <x:row r="963">
      <x:c r="B963" s="30"/>
    </x:row>
    <x:row r="964">
      <x:c r="B964" s="30"/>
    </x:row>
    <x:row r="965">
      <x:c r="B965" s="30"/>
    </x:row>
    <x:row r="966">
      <x:c r="B966" s="30"/>
    </x:row>
    <x:row r="967">
      <x:c r="B967" s="30"/>
    </x:row>
    <x:row r="968">
      <x:c r="B968" s="30"/>
    </x:row>
    <x:row r="969">
      <x:c r="B969" s="30"/>
    </x:row>
    <x:row r="970">
      <x:c r="B970" s="30"/>
    </x:row>
    <x:row r="971">
      <x:c r="B971" s="30"/>
    </x:row>
    <x:row r="972">
      <x:c r="B972" s="30"/>
    </x:row>
    <x:row r="973">
      <x:c r="B973" s="30"/>
    </x:row>
    <x:row r="974">
      <x:c r="B974" s="30"/>
    </x:row>
    <x:row r="975">
      <x:c r="B975" s="30"/>
    </x:row>
    <x:row r="976">
      <x:c r="B976" s="30"/>
    </x:row>
    <x:row r="977">
      <x:c r="B977" s="30"/>
    </x:row>
    <x:row r="978">
      <x:c r="B978" s="30"/>
    </x:row>
    <x:row r="979">
      <x:c r="B979" s="30"/>
    </x:row>
    <x:row r="980">
      <x:c r="B980" s="30"/>
    </x:row>
    <x:row r="981">
      <x:c r="B981" s="30"/>
    </x:row>
    <x:row r="982">
      <x:c r="B982" s="30"/>
    </x:row>
    <x:row r="983">
      <x:c r="B983" s="30"/>
    </x:row>
    <x:row r="984">
      <x:c r="B984" s="30"/>
    </x:row>
    <x:row r="985">
      <x:c r="B985" s="30"/>
    </x:row>
    <x:row r="986">
      <x:c r="B986" s="30"/>
    </x:row>
    <x:row r="987">
      <x:c r="B987" s="30"/>
    </x:row>
    <x:row r="988">
      <x:c r="B988" s="30"/>
    </x:row>
    <x:row r="989">
      <x:c r="B989" s="30"/>
    </x:row>
    <x:row r="990">
      <x:c r="B990" s="30"/>
    </x:row>
    <x:row r="991">
      <x:c r="B991" s="30"/>
    </x:row>
    <x:row r="992">
      <x:c r="B992" s="30"/>
    </x:row>
    <x:row r="993">
      <x:c r="B993" s="30"/>
    </x:row>
    <x:row r="994">
      <x:c r="B994" s="30"/>
    </x:row>
    <x:row r="995">
      <x:c r="B995" s="30"/>
    </x:row>
    <x:row r="996">
      <x:c r="B996" s="30"/>
    </x:row>
    <x:row r="997">
      <x:c r="B997" s="30"/>
    </x:row>
    <x:row r="998">
      <x:c r="B998" s="30"/>
    </x:row>
    <x:row r="999">
      <x:c r="B999" s="30"/>
    </x:row>
    <x:row r="1000">
      <x:c r="B1000" s="30"/>
    </x:row>
  </x:sheetData>
  <x:dataValidations count="3">
    <x:dataValidation type="list" sqref="J2:J1000">
      <x:formula1>"Positive,Question,Neutral,Negative,Complaint"</x:formula1>
    </x:dataValidation>
    <x:dataValidation type="list" sqref="K2:K1000">
      <x:formula1>"Pending,Replied,Hidden,Ignored,Escalated"</x:formula1>
    </x:dataValidation>
    <x:dataValidation type="list" sqref="L2:L1000">
      <x:formula1>"Low,Normal,High,Urgent"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e0d8d7ed0b45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50" hidden="0" customWidth="1"/>
    <x:col min="6" max="6" width="24" hidden="0" customWidth="1"/>
    <x:col min="7" max="7" width="12" hidden="0" customWidth="1"/>
    <x:col min="8" max="8" width="14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22" hidden="0" customWidth="1"/>
    <x:col min="19" max="19" width="22" hidden="0" customWidth="1"/>
  </x:cols>
  <x:sheetData>
    <x:row r="1" ht="24" customHeight="1">
      <x:c r="A1" s="22" t="str">
        <x:v>Date</x:v>
      </x:c>
      <x:c r="B1" s="22" t="str">
        <x:v>Brand</x:v>
      </x:c>
      <x:c r="C1" s="22" t="str">
        <x:v>Platform</x:v>
      </x:c>
      <x:c r="D1" s="22" t="str">
        <x:v>Source</x:v>
      </x:c>
      <x:c r="E1" s="22" t="str">
        <x:v>Ad_Name</x:v>
      </x:c>
      <x:c r="F1" s="22" t="str">
        <x:v>Campaign</x:v>
      </x:c>
      <x:c r="G1" s="32" t="str">
        <x:v>Spend</x:v>
      </x:c>
      <x:c r="H1" s="22" t="str">
        <x:v>Impressions</x:v>
      </x:c>
      <x:c r="I1" s="22" t="str">
        <x:v>Reach</x:v>
      </x:c>
      <x:c r="J1" s="34" t="str">
        <x:v>CTR</x:v>
      </x:c>
      <x:c r="K1" s="36" t="str">
        <x:v>CPC</x:v>
      </x:c>
      <x:c r="L1" s="36" t="str">
        <x:v>CPM</x:v>
      </x:c>
      <x:c r="M1" s="38" t="str">
        <x:v>ROAS</x:v>
      </x:c>
      <x:c r="N1" s="22" t="str">
        <x:v>Comments</x:v>
      </x:c>
      <x:c r="O1" s="22" t="str">
        <x:v>Negative</x:v>
      </x:c>
      <x:c r="P1" s="22" t="str">
        <x:v>Complaint</x:v>
      </x:c>
      <x:c r="Q1" s="22" t="str">
        <x:v>Priority</x:v>
      </x:c>
      <x:c r="R1" s="22" t="str">
        <x:v>Ad_URL</x:v>
      </x:c>
      <x:c r="S1" s="22" t="str">
        <x:v>Thumbnail_URL</x:v>
      </x:c>
    </x:row>
    <x:row r="2">
      <x:c r="A2" s="30" t="str">
        <x:v>Jul 8, 2026</x:v>
      </x:c>
      <x:c r="B2" t="str">
        <x:v>Unattributed</x:v>
      </x:c>
      <x:c r="C2" t="str">
        <x:v>Facebook</x:v>
      </x:c>
      <x:c r="D2" t="str">
        <x:v>Creator / Whitelist</x:v>
      </x:c>
      <x:c r="E2" t="str">
        <x:v>Organic · @angelenees.ugc</x:v>
      </x:c>
      <x:c r="F2" t="str">
        <x:v>Organic</x:v>
      </x:c>
      <x:c r="G2" t="str"/>
      <x:c r="H2" t="str"/>
      <x:c r="I2" t="str"/>
      <x:c r="J2" t="str"/>
      <x:c r="K2" t="str"/>
      <x:c r="L2" t="str"/>
      <x:c r="M2" t="str"/>
      <x:c r="N2" t="n">
        <x:v>121</x:v>
      </x:c>
      <x:c r="O2" t="n">
        <x:v>0</x:v>
      </x:c>
      <x:c r="P2" t="n">
        <x:v>0</x:v>
      </x:c>
      <x:c r="Q2" t="str">
        <x:v>High</x:v>
      </x:c>
      <x:c r="R2" t="str"/>
      <x:c r="S2" t="str"/>
    </x:row>
    <x:row r="3">
      <x:c r="A3" s="30" t="str">
        <x:v>Jul 8, 2026</x:v>
      </x:c>
      <x:c r="B3" t="str">
        <x:v>Unattributed</x:v>
      </x:c>
      <x:c r="C3" t="str">
        <x:v>Instagram</x:v>
      </x:c>
      <x:c r="D3" t="str">
        <x:v>Creator / Whitelist</x:v>
      </x:c>
      <x:c r="E3" t="str">
        <x:v>Organic · @angelenees.ugc</x:v>
      </x:c>
      <x:c r="F3" t="str">
        <x:v>Organic</x:v>
      </x:c>
      <x:c r="G3" t="str"/>
      <x:c r="H3" t="str"/>
      <x:c r="I3" t="str"/>
      <x:c r="J3" t="str"/>
      <x:c r="K3" t="str"/>
      <x:c r="L3" t="str"/>
      <x:c r="M3" t="str"/>
      <x:c r="N3" t="n">
        <x:v>68</x:v>
      </x:c>
      <x:c r="O3" t="n">
        <x:v>0</x:v>
      </x:c>
      <x:c r="P3" t="n">
        <x:v>0</x:v>
      </x:c>
      <x:c r="Q3" t="str">
        <x:v>High</x:v>
      </x:c>
      <x:c r="R3" t="str"/>
      <x:c r="S3" t="str"/>
    </x:row>
    <x:row r="4">
      <x:c r="A4" s="30" t="str">
        <x:v>Jul 8, 2026</x:v>
      </x:c>
      <x:c r="B4" t="str">
        <x:v>Unattributed</x:v>
      </x:c>
      <x:c r="C4" t="str">
        <x:v>Facebook</x:v>
      </x:c>
      <x:c r="D4" t="str">
        <x:v>Creator / Whitelist</x:v>
      </x:c>
      <x:c r="E4" t="str">
        <x:v>Organic · @angelenees.ugc</x:v>
      </x:c>
      <x:c r="F4" t="str">
        <x:v>Organic</x:v>
      </x:c>
      <x:c r="G4" t="str"/>
      <x:c r="H4" t="str"/>
      <x:c r="I4" t="str"/>
      <x:c r="J4" t="str"/>
      <x:c r="K4" t="str"/>
      <x:c r="L4" t="str"/>
      <x:c r="M4" t="str"/>
      <x:c r="N4" t="n">
        <x:v>55</x:v>
      </x:c>
      <x:c r="O4" t="n">
        <x:v>1</x:v>
      </x:c>
      <x:c r="P4" t="n">
        <x:v>0</x:v>
      </x:c>
      <x:c r="Q4" t="str">
        <x:v>High</x:v>
      </x:c>
      <x:c r="R4" t="str"/>
      <x:c r="S4" t="str"/>
    </x:row>
    <x:row r="5">
      <x:c r="A5" s="30" t="str">
        <x:v>Jul 8, 2026</x:v>
      </x:c>
      <x:c r="B5" t="str">
        <x:v>Nobl</x:v>
      </x:c>
      <x:c r="C5" t="str">
        <x:v>Instagram</x:v>
      </x:c>
      <x:c r="D5" t="str">
        <x:v>Brand page</x:v>
      </x:c>
      <x:c r="E5" t="str">
        <x:v>060826_J-0419v1_MyExHusbandsGirlfriend_TOF_Vid_000AIO_Evergreen_LP001_001NYS_002FA_003UGC_005J2_007MNT_008MNT_009B_010B_011M8S37_013F4B_014USA_015AAT</x:v>
      </x:c>
      <x:c r="F5" t="str">
        <x:v>usa - tof - all</x:v>
      </x:c>
      <x:c r="G5" t="str"/>
      <x:c r="H5" t="str"/>
      <x:c r="I5" t="str"/>
      <x:c r="J5" t="str"/>
      <x:c r="K5" t="str"/>
      <x:c r="L5" t="str"/>
      <x:c r="M5" t="str"/>
      <x:c r="N5" t="n">
        <x:v>46</x:v>
      </x:c>
      <x:c r="O5" t="n">
        <x:v>6</x:v>
      </x:c>
      <x:c r="P5" t="n">
        <x:v>0</x:v>
      </x:c>
      <x:c r="Q5" t="str">
        <x:v>Urgent</x:v>
      </x:c>
      <x:c r="R5" t="str"/>
      <x:c r="S5" t="str"/>
    </x:row>
    <x:row r="6">
      <x:c r="A6" s="30" t="str">
        <x:v>Jul 8, 2026</x:v>
      </x:c>
      <x:c r="B6" t="str">
        <x:v>Unattributed</x:v>
      </x:c>
      <x:c r="C6" t="str">
        <x:v>Facebook</x:v>
      </x:c>
      <x:c r="D6" t="str">
        <x:v>Creator / Whitelist</x:v>
      </x:c>
      <x:c r="E6" t="str">
        <x:v>Organic · @angelenees.ugc</x:v>
      </x:c>
      <x:c r="F6" t="str">
        <x:v>Organic</x:v>
      </x:c>
      <x:c r="G6" t="str"/>
      <x:c r="H6" t="str"/>
      <x:c r="I6" t="str"/>
      <x:c r="J6" t="str"/>
      <x:c r="K6" t="str"/>
      <x:c r="L6" t="str"/>
      <x:c r="M6" t="str"/>
      <x:c r="N6" t="n">
        <x:v>35</x:v>
      </x:c>
      <x:c r="O6" t="n">
        <x:v>0</x:v>
      </x:c>
      <x:c r="P6" t="n">
        <x:v>0</x:v>
      </x:c>
      <x:c r="Q6" t="str">
        <x:v>High</x:v>
      </x:c>
      <x:c r="R6" t="str"/>
      <x:c r="S6" t="str"/>
    </x:row>
    <x:row r="7">
      <x:c r="A7" s="30" t="str">
        <x:v>Jul 8, 2026</x:v>
      </x:c>
      <x:c r="B7" t="str">
        <x:v>Unattributed</x:v>
      </x:c>
      <x:c r="C7" t="str">
        <x:v>Instagram</x:v>
      </x:c>
      <x:c r="D7" t="str">
        <x:v>Creator / Whitelist</x:v>
      </x:c>
      <x:c r="E7" t="str">
        <x:v>Organic · @mauro.littera</x:v>
      </x:c>
      <x:c r="F7" t="str">
        <x:v>Organic</x:v>
      </x:c>
      <x:c r="G7" t="str"/>
      <x:c r="H7" t="str"/>
      <x:c r="I7" t="str"/>
      <x:c r="J7" t="str"/>
      <x:c r="K7" t="str"/>
      <x:c r="L7" t="str"/>
      <x:c r="M7" t="str"/>
      <x:c r="N7" t="n">
        <x:v>33</x:v>
      </x:c>
      <x:c r="O7" t="n">
        <x:v>0</x:v>
      </x:c>
      <x:c r="P7" t="n">
        <x:v>0</x:v>
      </x:c>
      <x:c r="Q7" t="str">
        <x:v>High</x:v>
      </x:c>
      <x:c r="R7" t="str"/>
      <x:c r="S7" t="str"/>
    </x:row>
    <x:row r="8">
      <x:c r="A8" s="30" t="str">
        <x:v>Jul 8, 2026</x:v>
      </x:c>
      <x:c r="B8" t="str">
        <x:v>Unattributed</x:v>
      </x:c>
      <x:c r="C8" t="str">
        <x:v>Facebook</x:v>
      </x:c>
      <x:c r="D8" t="str">
        <x:v>Creator / Whitelist</x:v>
      </x:c>
      <x:c r="E8" t="str">
        <x:v>Organic · @angelenees.ugc</x:v>
      </x:c>
      <x:c r="F8" t="str">
        <x:v>Organic</x:v>
      </x:c>
      <x:c r="G8" t="str"/>
      <x:c r="H8" t="str"/>
      <x:c r="I8" t="str"/>
      <x:c r="J8" t="str"/>
      <x:c r="K8" t="str"/>
      <x:c r="L8" t="str"/>
      <x:c r="M8" t="str"/>
      <x:c r="N8" t="n">
        <x:v>30</x:v>
      </x:c>
      <x:c r="O8" t="n">
        <x:v>0</x:v>
      </x:c>
      <x:c r="P8" t="n">
        <x:v>0</x:v>
      </x:c>
      <x:c r="Q8" t="str">
        <x:v>High</x:v>
      </x:c>
      <x:c r="R8" t="str"/>
      <x:c r="S8" t="str"/>
    </x:row>
    <x:row r="9">
      <x:c r="A9" s="30" t="str">
        <x:v>Jul 8, 2026</x:v>
      </x:c>
      <x:c r="B9" t="str">
        <x:v>Unattributed</x:v>
      </x:c>
      <x:c r="C9" t="str">
        <x:v>Instagram</x:v>
      </x:c>
      <x:c r="D9" t="str">
        <x:v>Creator / Whitelist</x:v>
      </x:c>
      <x:c r="E9" t="str">
        <x:v>Organic · @chaltner</x:v>
      </x:c>
      <x:c r="F9" t="str">
        <x:v>Organic</x:v>
      </x:c>
      <x:c r="G9" t="str"/>
      <x:c r="H9" t="str"/>
      <x:c r="I9" t="str"/>
      <x:c r="J9" t="str"/>
      <x:c r="K9" t="str"/>
      <x:c r="L9" t="str"/>
      <x:c r="M9" t="str"/>
      <x:c r="N9" t="n">
        <x:v>30</x:v>
      </x:c>
      <x:c r="O9" t="n">
        <x:v>0</x:v>
      </x:c>
      <x:c r="P9" t="n">
        <x:v>0</x:v>
      </x:c>
      <x:c r="Q9" t="str">
        <x:v>High</x:v>
      </x:c>
      <x:c r="R9" t="str"/>
      <x:c r="S9" t="str"/>
    </x:row>
    <x:row r="10">
      <x:c r="A10" s="30" t="str">
        <x:v>Jul 8, 2026</x:v>
      </x:c>
      <x:c r="B10" t="str">
        <x:v>Unattributed</x:v>
      </x:c>
      <x:c r="C10" t="str">
        <x:v>Facebook</x:v>
      </x:c>
      <x:c r="D10" t="str">
        <x:v>Creator / Whitelist</x:v>
      </x:c>
      <x:c r="E10" t="str">
        <x:v>Organic · @sarahlauren_71</x:v>
      </x:c>
      <x:c r="F10" t="str">
        <x:v>Organic</x:v>
      </x:c>
      <x:c r="G10" t="str"/>
      <x:c r="H10" t="str"/>
      <x:c r="I10" t="str"/>
      <x:c r="J10" t="str"/>
      <x:c r="K10" t="str"/>
      <x:c r="L10" t="str"/>
      <x:c r="M10" t="str"/>
      <x:c r="N10" t="n">
        <x:v>22</x:v>
      </x:c>
      <x:c r="O10" t="n">
        <x:v>4</x:v>
      </x:c>
      <x:c r="P10" t="n">
        <x:v>0</x:v>
      </x:c>
      <x:c r="Q10" t="str">
        <x:v>High</x:v>
      </x:c>
      <x:c r="R10" t="str"/>
      <x:c r="S10" t="str"/>
    </x:row>
    <x:row r="11">
      <x:c r="A11" s="30" t="str">
        <x:v>Jul 8, 2026</x:v>
      </x:c>
      <x:c r="B11" t="str">
        <x:v>Unattributed</x:v>
      </x:c>
      <x:c r="C11" t="str">
        <x:v>Instagram</x:v>
      </x:c>
      <x:c r="D11" t="str">
        <x:v>Creator / Whitelist</x:v>
      </x:c>
      <x:c r="E11" t="str">
        <x:v>Organic · @ugcbytengy</x:v>
      </x:c>
      <x:c r="F11" t="str">
        <x:v>Organic</x:v>
      </x:c>
      <x:c r="G11" t="str"/>
      <x:c r="H11" t="str"/>
      <x:c r="I11" t="str"/>
      <x:c r="J11" t="str"/>
      <x:c r="K11" t="str"/>
      <x:c r="L11" t="str"/>
      <x:c r="M11" t="str"/>
      <x:c r="N11" t="n">
        <x:v>20</x:v>
      </x:c>
      <x:c r="O11" t="n">
        <x:v>0</x:v>
      </x:c>
      <x:c r="P11" t="n">
        <x:v>0</x:v>
      </x:c>
      <x:c r="Q11" t="str">
        <x:v>High</x:v>
      </x:c>
      <x:c r="R11" t="str"/>
      <x:c r="S11" t="str"/>
    </x:row>
    <x:row r="12">
      <x:c r="A12" s="30" t="str">
        <x:v>Jul 8, 2026</x:v>
      </x:c>
      <x:c r="B12" t="str">
        <x:v>Unattributed</x:v>
      </x:c>
      <x:c r="C12" t="str">
        <x:v>Facebook</x:v>
      </x:c>
      <x:c r="D12" t="str">
        <x:v>Creator / Whitelist</x:v>
      </x:c>
      <x:c r="E12" t="str">
        <x:v>Organic · @chaltner</x:v>
      </x:c>
      <x:c r="F12" t="str">
        <x:v>Organic</x:v>
      </x:c>
      <x:c r="G12" t="str"/>
      <x:c r="H12" t="str"/>
      <x:c r="I12" t="str"/>
      <x:c r="J12" t="str"/>
      <x:c r="K12" t="str"/>
      <x:c r="L12" t="str"/>
      <x:c r="M12" t="str"/>
      <x:c r="N12" t="n">
        <x:v>19</x:v>
      </x:c>
      <x:c r="O12" t="n">
        <x:v>0</x:v>
      </x:c>
      <x:c r="P12" t="n">
        <x:v>0</x:v>
      </x:c>
      <x:c r="Q12" t="str">
        <x:v>High</x:v>
      </x:c>
      <x:c r="R12" t="str"/>
      <x:c r="S12" t="str"/>
    </x:row>
    <x:row r="13">
      <x:c r="A13" s="30" t="str">
        <x:v>Jul 8, 2026</x:v>
      </x:c>
      <x:c r="B13" t="str">
        <x:v>Unattributed</x:v>
      </x:c>
      <x:c r="C13" t="str">
        <x:v>Instagram</x:v>
      </x:c>
      <x:c r="D13" t="str">
        <x:v>Creator / Whitelist</x:v>
      </x:c>
      <x:c r="E13" t="str">
        <x:v>Organic · @ellenhellkvist</x:v>
      </x:c>
      <x:c r="F13" t="str">
        <x:v>Organic</x:v>
      </x:c>
      <x:c r="G13" t="str"/>
      <x:c r="H13" t="str"/>
      <x:c r="I13" t="str"/>
      <x:c r="J13" t="str"/>
      <x:c r="K13" t="str"/>
      <x:c r="L13" t="str"/>
      <x:c r="M13" t="str"/>
      <x:c r="N13" t="n">
        <x:v>15</x:v>
      </x:c>
      <x:c r="O13" t="n">
        <x:v>0</x:v>
      </x:c>
      <x:c r="P13" t="n">
        <x:v>0</x:v>
      </x:c>
      <x:c r="Q13" t="str">
        <x:v>High</x:v>
      </x:c>
      <x:c r="R13" t="str"/>
      <x:c r="S13" t="str"/>
    </x:row>
    <x:row r="14">
      <x:c r="A14" s="30" t="str">
        <x:v>Jul 8, 2026</x:v>
      </x:c>
      <x:c r="B14" t="str">
        <x:v>Unattributed</x:v>
      </x:c>
      <x:c r="C14" t="str">
        <x:v>Facebook</x:v>
      </x:c>
      <x:c r="D14" t="str">
        <x:v>Creator / Whitelist</x:v>
      </x:c>
      <x:c r="E14" t="str">
        <x:v>Organic · @angelenees.ugc</x:v>
      </x:c>
      <x:c r="F14" t="str">
        <x:v>Organic</x:v>
      </x:c>
      <x:c r="G14" t="str"/>
      <x:c r="H14" t="str"/>
      <x:c r="I14" t="str"/>
      <x:c r="J14" t="str"/>
      <x:c r="K14" t="str"/>
      <x:c r="L14" t="str"/>
      <x:c r="M14" t="str"/>
      <x:c r="N14" t="n">
        <x:v>12</x:v>
      </x:c>
      <x:c r="O14" t="n">
        <x:v>0</x:v>
      </x:c>
      <x:c r="P14" t="n">
        <x:v>0</x:v>
      </x:c>
      <x:c r="Q14" t="str">
        <x:v>High</x:v>
      </x:c>
      <x:c r="R14" t="str"/>
      <x:c r="S14" t="str"/>
    </x:row>
    <x:row r="15">
      <x:c r="A15" s="30" t="str">
        <x:v>Jul 8, 2026</x:v>
      </x:c>
      <x:c r="B15" t="str">
        <x:v>Unattributed</x:v>
      </x:c>
      <x:c r="C15" t="str">
        <x:v>Instagram</x:v>
      </x:c>
      <x:c r="D15" t="str">
        <x:v>Creator / Whitelist</x:v>
      </x:c>
      <x:c r="E15" t="str">
        <x:v>Organic · @mauro.littera</x:v>
      </x:c>
      <x:c r="F15" t="str">
        <x:v>Organic</x:v>
      </x:c>
      <x:c r="G15" t="str"/>
      <x:c r="H15" t="str"/>
      <x:c r="I15" t="str"/>
      <x:c r="J15" t="str"/>
      <x:c r="K15" t="str"/>
      <x:c r="L15" t="str"/>
      <x:c r="M15" t="str"/>
      <x:c r="N15" t="n">
        <x:v>12</x:v>
      </x:c>
      <x:c r="O15" t="n">
        <x:v>0</x:v>
      </x:c>
      <x:c r="P15" t="n">
        <x:v>0</x:v>
      </x:c>
      <x:c r="Q15" t="str">
        <x:v>High</x:v>
      </x:c>
      <x:c r="R15" t="str"/>
      <x:c r="S15" t="str"/>
    </x:row>
    <x:row r="16">
      <x:c r="A16" s="30" t="str">
        <x:v>Jul 8, 2026</x:v>
      </x:c>
      <x:c r="B16" t="str">
        <x:v>Nobl</x:v>
      </x:c>
      <x:c r="C16" t="str">
        <x:v>Facebook</x:v>
      </x:c>
      <x:c r="D16" t="str">
        <x:v>Brand page</x:v>
      </x:c>
      <x:c r="E16" t="str">
        <x:v>060126_J0382v3_TSAOpeners_TOF_Vid_BJ0284v1_000AIO_Evergreen_LP001_001NYS_002LK_003NGC_005F5_007SIL_008BYL_009E_010A_011M0S51_013F2W_014USA_015AAA</x:v>
      </x:c>
      <x:c r="F16" t="str">
        <x:v>usa - tof - all</x:v>
      </x:c>
      <x:c r="G16" t="str"/>
      <x:c r="H16" t="str"/>
      <x:c r="I16" t="str"/>
      <x:c r="J16" t="str"/>
      <x:c r="K16" t="str"/>
      <x:c r="L16" t="str"/>
      <x:c r="M16" t="str"/>
      <x:c r="N16" t="n">
        <x:v>10</x:v>
      </x:c>
      <x:c r="O16" t="n">
        <x:v>2</x:v>
      </x:c>
      <x:c r="P16" t="n">
        <x:v>1</x:v>
      </x:c>
      <x:c r="Q16" t="str">
        <x:v>High</x:v>
      </x:c>
      <x:c r="R16" t="str"/>
      <x:c r="S16" t="str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  <x:row r="31">
      <x:c r="A31" s="30"/>
    </x:row>
    <x:row r="32">
      <x:c r="A32" s="30"/>
    </x:row>
    <x:row r="33">
      <x:c r="A33" s="30"/>
    </x:row>
    <x:row r="34">
      <x:c r="A34" s="30"/>
    </x:row>
    <x:row r="35">
      <x:c r="A35" s="30"/>
    </x:row>
    <x:row r="36">
      <x:c r="A36" s="30"/>
    </x:row>
    <x:row r="37">
      <x:c r="A37" s="30"/>
    </x:row>
    <x:row r="38">
      <x:c r="A38" s="30"/>
    </x:row>
    <x:row r="39">
      <x:c r="A39" s="30"/>
    </x:row>
    <x:row r="40">
      <x:c r="A40" s="30"/>
    </x:row>
    <x:row r="41">
      <x:c r="A41" s="30"/>
    </x:row>
    <x:row r="42">
      <x:c r="A42" s="30"/>
    </x:row>
    <x:row r="43">
      <x:c r="A43" s="30"/>
    </x:row>
    <x:row r="44">
      <x:c r="A44" s="30"/>
    </x:row>
    <x:row r="45">
      <x:c r="A45" s="30"/>
    </x:row>
    <x:row r="46">
      <x:c r="A46" s="30"/>
    </x:row>
    <x:row r="47">
      <x:c r="A47" s="30"/>
    </x:row>
    <x:row r="48">
      <x:c r="A48" s="30"/>
    </x:row>
    <x:row r="49">
      <x:c r="A49" s="30"/>
    </x:row>
    <x:row r="50">
      <x:c r="A50" s="30"/>
    </x:row>
    <x:row r="51">
      <x:c r="A51" s="30"/>
    </x:row>
    <x:row r="52">
      <x:c r="A52" s="30"/>
    </x:row>
    <x:row r="53">
      <x:c r="A53" s="30"/>
    </x:row>
    <x:row r="54">
      <x:c r="A54" s="30"/>
    </x:row>
    <x:row r="55">
      <x:c r="A55" s="30"/>
    </x:row>
    <x:row r="56">
      <x:c r="A56" s="30"/>
    </x:row>
    <x:row r="57">
      <x:c r="A57" s="30"/>
    </x:row>
    <x:row r="58">
      <x:c r="A58" s="30"/>
    </x:row>
    <x:row r="59">
      <x:c r="A59" s="30"/>
    </x:row>
    <x:row r="60">
      <x:c r="A60" s="30"/>
    </x:row>
    <x:row r="61">
      <x:c r="A61" s="30"/>
    </x:row>
    <x:row r="62">
      <x:c r="A62" s="30"/>
    </x:row>
    <x:row r="63">
      <x:c r="A63" s="30"/>
    </x:row>
    <x:row r="64">
      <x:c r="A64" s="30"/>
    </x:row>
    <x:row r="65">
      <x:c r="A65" s="30"/>
    </x:row>
    <x:row r="66">
      <x:c r="A66" s="30"/>
    </x:row>
    <x:row r="67">
      <x:c r="A67" s="30"/>
    </x:row>
    <x:row r="68">
      <x:c r="A68" s="30"/>
    </x:row>
    <x:row r="69">
      <x:c r="A69" s="30"/>
    </x:row>
    <x:row r="70">
      <x:c r="A70" s="30"/>
    </x:row>
    <x:row r="71">
      <x:c r="A71" s="30"/>
    </x:row>
    <x:row r="72">
      <x:c r="A72" s="30"/>
    </x:row>
    <x:row r="73">
      <x:c r="A73" s="30"/>
    </x:row>
    <x:row r="74">
      <x:c r="A74" s="30"/>
    </x:row>
    <x:row r="75">
      <x:c r="A75" s="30"/>
    </x:row>
    <x:row r="76">
      <x:c r="A76" s="30"/>
    </x:row>
    <x:row r="77">
      <x:c r="A77" s="30"/>
    </x:row>
    <x:row r="78">
      <x:c r="A78" s="30"/>
    </x:row>
    <x:row r="79">
      <x:c r="A79" s="30"/>
    </x:row>
    <x:row r="80">
      <x:c r="A80" s="30"/>
    </x:row>
    <x:row r="81">
      <x:c r="A81" s="30"/>
    </x:row>
    <x:row r="82">
      <x:c r="A82" s="30"/>
    </x:row>
    <x:row r="83">
      <x:c r="A83" s="30"/>
    </x:row>
    <x:row r="84">
      <x:c r="A84" s="30"/>
    </x:row>
    <x:row r="85">
      <x:c r="A85" s="30"/>
    </x:row>
    <x:row r="86">
      <x:c r="A86" s="30"/>
    </x:row>
    <x:row r="87">
      <x:c r="A87" s="30"/>
    </x:row>
    <x:row r="88">
      <x:c r="A88" s="30"/>
    </x:row>
    <x:row r="89">
      <x:c r="A89" s="30"/>
    </x:row>
    <x:row r="90">
      <x:c r="A90" s="30"/>
    </x:row>
    <x:row r="91">
      <x:c r="A91" s="30"/>
    </x:row>
    <x:row r="92">
      <x:c r="A92" s="30"/>
    </x:row>
    <x:row r="93">
      <x:c r="A93" s="30"/>
    </x:row>
    <x:row r="94">
      <x:c r="A94" s="30"/>
    </x:row>
    <x:row r="95">
      <x:c r="A95" s="30"/>
    </x:row>
    <x:row r="96">
      <x:c r="A96" s="30"/>
    </x:row>
    <x:row r="97">
      <x:c r="A97" s="30"/>
    </x:row>
    <x:row r="98">
      <x:c r="A98" s="30"/>
    </x:row>
    <x:row r="99">
      <x:c r="A99" s="30"/>
    </x:row>
    <x:row r="100">
      <x:c r="A100" s="30"/>
    </x:row>
    <x:row r="101">
      <x:c r="A101" s="30"/>
    </x:row>
    <x:row r="102">
      <x:c r="A102" s="30"/>
    </x:row>
    <x:row r="103">
      <x:c r="A103" s="30"/>
    </x:row>
    <x:row r="104">
      <x:c r="A104" s="30"/>
    </x:row>
    <x:row r="105">
      <x:c r="A105" s="30"/>
    </x:row>
    <x:row r="106">
      <x:c r="A106" s="30"/>
    </x:row>
    <x:row r="107">
      <x:c r="A107" s="30"/>
    </x:row>
    <x:row r="108">
      <x:c r="A108" s="30"/>
    </x:row>
    <x:row r="109">
      <x:c r="A109" s="30"/>
    </x:row>
    <x:row r="110">
      <x:c r="A110" s="30"/>
    </x:row>
    <x:row r="111">
      <x:c r="A111" s="30"/>
    </x:row>
    <x:row r="112">
      <x:c r="A112" s="30"/>
    </x:row>
    <x:row r="113">
      <x:c r="A113" s="30"/>
    </x:row>
    <x:row r="114">
      <x:c r="A114" s="30"/>
    </x:row>
    <x:row r="115">
      <x:c r="A115" s="30"/>
    </x:row>
    <x:row r="116">
      <x:c r="A116" s="30"/>
    </x:row>
    <x:row r="117">
      <x:c r="A117" s="30"/>
    </x:row>
    <x:row r="118">
      <x:c r="A118" s="30"/>
    </x:row>
    <x:row r="119">
      <x:c r="A119" s="30"/>
    </x:row>
    <x:row r="120">
      <x:c r="A120" s="30"/>
    </x:row>
    <x:row r="121">
      <x:c r="A121" s="30"/>
    </x:row>
    <x:row r="122">
      <x:c r="A122" s="30"/>
    </x:row>
    <x:row r="123">
      <x:c r="A123" s="30"/>
    </x:row>
    <x:row r="124">
      <x:c r="A124" s="30"/>
    </x:row>
    <x:row r="125">
      <x:c r="A125" s="30"/>
    </x:row>
    <x:row r="126">
      <x:c r="A126" s="30"/>
    </x:row>
    <x:row r="127">
      <x:c r="A127" s="30"/>
    </x:row>
    <x:row r="128">
      <x:c r="A128" s="30"/>
    </x:row>
    <x:row r="129">
      <x:c r="A129" s="30"/>
    </x:row>
    <x:row r="130">
      <x:c r="A130" s="30"/>
    </x:row>
    <x:row r="131">
      <x:c r="A131" s="30"/>
    </x:row>
    <x:row r="132">
      <x:c r="A132" s="30"/>
    </x:row>
    <x:row r="133">
      <x:c r="A133" s="30"/>
    </x:row>
    <x:row r="134">
      <x:c r="A134" s="30"/>
    </x:row>
    <x:row r="135">
      <x:c r="A135" s="30"/>
    </x:row>
    <x:row r="136">
      <x:c r="A136" s="30"/>
    </x:row>
    <x:row r="137">
      <x:c r="A137" s="30"/>
    </x:row>
    <x:row r="138">
      <x:c r="A138" s="30"/>
    </x:row>
    <x:row r="139">
      <x:c r="A139" s="30"/>
    </x:row>
    <x:row r="140">
      <x:c r="A140" s="30"/>
    </x:row>
    <x:row r="141">
      <x:c r="A141" s="30"/>
    </x:row>
    <x:row r="142">
      <x:c r="A142" s="30"/>
    </x:row>
    <x:row r="143">
      <x:c r="A143" s="30"/>
    </x:row>
    <x:row r="144">
      <x:c r="A144" s="30"/>
    </x:row>
    <x:row r="145">
      <x:c r="A145" s="30"/>
    </x:row>
    <x:row r="146">
      <x:c r="A146" s="30"/>
    </x:row>
    <x:row r="147">
      <x:c r="A147" s="30"/>
    </x:row>
    <x:row r="148">
      <x:c r="A148" s="30"/>
    </x:row>
    <x:row r="149">
      <x:c r="A149" s="30"/>
    </x:row>
    <x:row r="150">
      <x:c r="A150" s="30"/>
    </x:row>
    <x:row r="151">
      <x:c r="A151" s="30"/>
    </x:row>
    <x:row r="152">
      <x:c r="A152" s="30"/>
    </x:row>
    <x:row r="153">
      <x:c r="A153" s="30"/>
    </x:row>
    <x:row r="154">
      <x:c r="A154" s="30"/>
    </x:row>
    <x:row r="155">
      <x:c r="A155" s="30"/>
    </x:row>
    <x:row r="156">
      <x:c r="A156" s="30"/>
    </x:row>
    <x:row r="157">
      <x:c r="A157" s="30"/>
    </x:row>
    <x:row r="158">
      <x:c r="A158" s="30"/>
    </x:row>
    <x:row r="159">
      <x:c r="A159" s="30"/>
    </x:row>
    <x:row r="160">
      <x:c r="A160" s="30"/>
    </x:row>
    <x:row r="161">
      <x:c r="A161" s="30"/>
    </x:row>
    <x:row r="162">
      <x:c r="A162" s="30"/>
    </x:row>
    <x:row r="163">
      <x:c r="A163" s="30"/>
    </x:row>
    <x:row r="164">
      <x:c r="A164" s="30"/>
    </x:row>
    <x:row r="165">
      <x:c r="A165" s="30"/>
    </x:row>
    <x:row r="166">
      <x:c r="A166" s="30"/>
    </x:row>
    <x:row r="167">
      <x:c r="A167" s="30"/>
    </x:row>
    <x:row r="168">
      <x:c r="A168" s="30"/>
    </x:row>
    <x:row r="169">
      <x:c r="A169" s="30"/>
    </x:row>
    <x:row r="170">
      <x:c r="A170" s="30"/>
    </x:row>
    <x:row r="171">
      <x:c r="A171" s="30"/>
    </x:row>
    <x:row r="172">
      <x:c r="A172" s="30"/>
    </x:row>
    <x:row r="173">
      <x:c r="A173" s="30"/>
    </x:row>
    <x:row r="174">
      <x:c r="A174" s="30"/>
    </x:row>
    <x:row r="175">
      <x:c r="A175" s="30"/>
    </x:row>
    <x:row r="176">
      <x:c r="A176" s="30"/>
    </x:row>
    <x:row r="177">
      <x:c r="A177" s="30"/>
    </x:row>
    <x:row r="178">
      <x:c r="A178" s="30"/>
    </x:row>
    <x:row r="179">
      <x:c r="A179" s="30"/>
    </x:row>
    <x:row r="180">
      <x:c r="A180" s="30"/>
    </x:row>
    <x:row r="181">
      <x:c r="A181" s="30"/>
    </x:row>
    <x:row r="182">
      <x:c r="A182" s="30"/>
    </x:row>
    <x:row r="183">
      <x:c r="A183" s="30"/>
    </x:row>
    <x:row r="184">
      <x:c r="A184" s="30"/>
    </x:row>
    <x:row r="185">
      <x:c r="A185" s="30"/>
    </x:row>
    <x:row r="186">
      <x:c r="A186" s="30"/>
    </x:row>
    <x:row r="187">
      <x:c r="A187" s="30"/>
    </x:row>
    <x:row r="188">
      <x:c r="A188" s="30"/>
    </x:row>
    <x:row r="189">
      <x:c r="A189" s="30"/>
    </x:row>
    <x:row r="190">
      <x:c r="A190" s="30"/>
    </x:row>
    <x:row r="191">
      <x:c r="A191" s="30"/>
    </x:row>
    <x:row r="192">
      <x:c r="A192" s="30"/>
    </x:row>
    <x:row r="193">
      <x:c r="A193" s="30"/>
    </x:row>
    <x:row r="194">
      <x:c r="A194" s="30"/>
    </x:row>
    <x:row r="195">
      <x:c r="A195" s="30"/>
    </x:row>
    <x:row r="196">
      <x:c r="A196" s="30"/>
    </x:row>
    <x:row r="197">
      <x:c r="A197" s="30"/>
    </x:row>
    <x:row r="198">
      <x:c r="A198" s="30"/>
    </x:row>
    <x:row r="199">
      <x:c r="A199" s="30"/>
    </x:row>
    <x:row r="200">
      <x:c r="A200" s="30"/>
    </x:row>
    <x:row r="201">
      <x:c r="A201" s="30"/>
    </x:row>
    <x:row r="202">
      <x:c r="A202" s="30"/>
    </x:row>
    <x:row r="203">
      <x:c r="A203" s="30"/>
    </x:row>
    <x:row r="204">
      <x:c r="A204" s="30"/>
    </x:row>
    <x:row r="205">
      <x:c r="A205" s="30"/>
    </x:row>
    <x:row r="206">
      <x:c r="A206" s="30"/>
    </x:row>
    <x:row r="207">
      <x:c r="A207" s="30"/>
    </x:row>
    <x:row r="208">
      <x:c r="A208" s="30"/>
    </x:row>
    <x:row r="209">
      <x:c r="A209" s="30"/>
    </x:row>
    <x:row r="210">
      <x:c r="A210" s="30"/>
    </x:row>
    <x:row r="211">
      <x:c r="A211" s="30"/>
    </x:row>
    <x:row r="212">
      <x:c r="A212" s="30"/>
    </x:row>
    <x:row r="213">
      <x:c r="A213" s="30"/>
    </x:row>
    <x:row r="214">
      <x:c r="A214" s="30"/>
    </x:row>
    <x:row r="215">
      <x:c r="A215" s="30"/>
    </x:row>
    <x:row r="216">
      <x:c r="A216" s="30"/>
    </x:row>
    <x:row r="217">
      <x:c r="A217" s="30"/>
    </x:row>
    <x:row r="218">
      <x:c r="A218" s="30"/>
    </x:row>
    <x:row r="219">
      <x:c r="A219" s="30"/>
    </x:row>
    <x:row r="220">
      <x:c r="A220" s="30"/>
    </x:row>
    <x:row r="221">
      <x:c r="A221" s="30"/>
    </x:row>
    <x:row r="222">
      <x:c r="A222" s="30"/>
    </x:row>
    <x:row r="223">
      <x:c r="A223" s="30"/>
    </x:row>
    <x:row r="224">
      <x:c r="A224" s="30"/>
    </x:row>
    <x:row r="225">
      <x:c r="A225" s="30"/>
    </x:row>
    <x:row r="226">
      <x:c r="A226" s="30"/>
    </x:row>
    <x:row r="227">
      <x:c r="A227" s="30"/>
    </x:row>
    <x:row r="228">
      <x:c r="A228" s="30"/>
    </x:row>
    <x:row r="229">
      <x:c r="A229" s="30"/>
    </x:row>
    <x:row r="230">
      <x:c r="A230" s="30"/>
    </x:row>
    <x:row r="231">
      <x:c r="A231" s="30"/>
    </x:row>
    <x:row r="232">
      <x:c r="A232" s="30"/>
    </x:row>
    <x:row r="233">
      <x:c r="A233" s="30"/>
    </x:row>
    <x:row r="234">
      <x:c r="A234" s="30"/>
    </x:row>
    <x:row r="235">
      <x:c r="A235" s="30"/>
    </x:row>
    <x:row r="236">
      <x:c r="A236" s="30"/>
    </x:row>
    <x:row r="237">
      <x:c r="A237" s="30"/>
    </x:row>
    <x:row r="238">
      <x:c r="A238" s="30"/>
    </x:row>
    <x:row r="239">
      <x:c r="A239" s="30"/>
    </x:row>
    <x:row r="240">
      <x:c r="A240" s="30"/>
    </x:row>
    <x:row r="241">
      <x:c r="A241" s="30"/>
    </x:row>
    <x:row r="242">
      <x:c r="A242" s="30"/>
    </x:row>
    <x:row r="243">
      <x:c r="A243" s="30"/>
    </x:row>
    <x:row r="244">
      <x:c r="A244" s="30"/>
    </x:row>
    <x:row r="245">
      <x:c r="A245" s="30"/>
    </x:row>
    <x:row r="246">
      <x:c r="A246" s="30"/>
    </x:row>
    <x:row r="247">
      <x:c r="A247" s="30"/>
    </x:row>
    <x:row r="248">
      <x:c r="A248" s="30"/>
    </x:row>
    <x:row r="249">
      <x:c r="A249" s="30"/>
    </x:row>
    <x:row r="250">
      <x:c r="A250" s="30"/>
    </x:row>
    <x:row r="251">
      <x:c r="A251" s="30"/>
    </x:row>
    <x:row r="252">
      <x:c r="A252" s="30"/>
    </x:row>
    <x:row r="253">
      <x:c r="A253" s="30"/>
    </x:row>
    <x:row r="254">
      <x:c r="A254" s="30"/>
    </x:row>
    <x:row r="255">
      <x:c r="A255" s="30"/>
    </x:row>
    <x:row r="256">
      <x:c r="A256" s="30"/>
    </x:row>
    <x:row r="257">
      <x:c r="A257" s="30"/>
    </x:row>
    <x:row r="258">
      <x:c r="A258" s="30"/>
    </x:row>
    <x:row r="259">
      <x:c r="A259" s="30"/>
    </x:row>
    <x:row r="260">
      <x:c r="A260" s="30"/>
    </x:row>
    <x:row r="261">
      <x:c r="A261" s="30"/>
    </x:row>
    <x:row r="262">
      <x:c r="A262" s="30"/>
    </x:row>
    <x:row r="263">
      <x:c r="A263" s="30"/>
    </x:row>
    <x:row r="264">
      <x:c r="A264" s="30"/>
    </x:row>
    <x:row r="265">
      <x:c r="A265" s="30"/>
    </x:row>
    <x:row r="266">
      <x:c r="A266" s="30"/>
    </x:row>
    <x:row r="267">
      <x:c r="A267" s="30"/>
    </x:row>
    <x:row r="268">
      <x:c r="A268" s="30"/>
    </x:row>
    <x:row r="269">
      <x:c r="A269" s="30"/>
    </x:row>
    <x:row r="270">
      <x:c r="A270" s="30"/>
    </x:row>
    <x:row r="271">
      <x:c r="A271" s="30"/>
    </x:row>
    <x:row r="272">
      <x:c r="A272" s="30"/>
    </x:row>
    <x:row r="273">
      <x:c r="A273" s="30"/>
    </x:row>
    <x:row r="274">
      <x:c r="A274" s="30"/>
    </x:row>
    <x:row r="275">
      <x:c r="A275" s="30"/>
    </x:row>
    <x:row r="276">
      <x:c r="A276" s="30"/>
    </x:row>
    <x:row r="277">
      <x:c r="A277" s="30"/>
    </x:row>
    <x:row r="278">
      <x:c r="A278" s="30"/>
    </x:row>
    <x:row r="279">
      <x:c r="A279" s="30"/>
    </x:row>
    <x:row r="280">
      <x:c r="A280" s="30"/>
    </x:row>
    <x:row r="281">
      <x:c r="A281" s="30"/>
    </x:row>
    <x:row r="282">
      <x:c r="A282" s="30"/>
    </x:row>
    <x:row r="283">
      <x:c r="A283" s="30"/>
    </x:row>
    <x:row r="284">
      <x:c r="A284" s="30"/>
    </x:row>
    <x:row r="285">
      <x:c r="A285" s="30"/>
    </x:row>
    <x:row r="286">
      <x:c r="A286" s="30"/>
    </x:row>
    <x:row r="287">
      <x:c r="A287" s="30"/>
    </x:row>
    <x:row r="288">
      <x:c r="A288" s="30"/>
    </x:row>
    <x:row r="289">
      <x:c r="A289" s="30"/>
    </x:row>
    <x:row r="290">
      <x:c r="A290" s="30"/>
    </x:row>
    <x:row r="291">
      <x:c r="A291" s="30"/>
    </x:row>
    <x:row r="292">
      <x:c r="A292" s="30"/>
    </x:row>
    <x:row r="293">
      <x:c r="A293" s="30"/>
    </x:row>
    <x:row r="294">
      <x:c r="A294" s="30"/>
    </x:row>
    <x:row r="295">
      <x:c r="A295" s="30"/>
    </x:row>
    <x:row r="296">
      <x:c r="A296" s="30"/>
    </x:row>
    <x:row r="297">
      <x:c r="A297" s="30"/>
    </x:row>
    <x:row r="298">
      <x:c r="A298" s="30"/>
    </x:row>
    <x:row r="299">
      <x:c r="A299" s="30"/>
    </x:row>
    <x:row r="300">
      <x:c r="A300" s="30"/>
    </x:row>
    <x:row r="301">
      <x:c r="A301" s="30"/>
    </x:row>
    <x:row r="302">
      <x:c r="A302" s="30"/>
    </x:row>
    <x:row r="303">
      <x:c r="A303" s="30"/>
    </x:row>
    <x:row r="304">
      <x:c r="A304" s="30"/>
    </x:row>
    <x:row r="305">
      <x:c r="A305" s="30"/>
    </x:row>
    <x:row r="306">
      <x:c r="A306" s="30"/>
    </x:row>
    <x:row r="307">
      <x:c r="A307" s="30"/>
    </x:row>
    <x:row r="308">
      <x:c r="A308" s="30"/>
    </x:row>
    <x:row r="309">
      <x:c r="A309" s="30"/>
    </x:row>
    <x:row r="310">
      <x:c r="A310" s="30"/>
    </x:row>
    <x:row r="311">
      <x:c r="A311" s="30"/>
    </x:row>
    <x:row r="312">
      <x:c r="A312" s="30"/>
    </x:row>
    <x:row r="313">
      <x:c r="A313" s="30"/>
    </x:row>
    <x:row r="314">
      <x:c r="A314" s="30"/>
    </x:row>
    <x:row r="315">
      <x:c r="A315" s="30"/>
    </x:row>
    <x:row r="316">
      <x:c r="A316" s="30"/>
    </x:row>
    <x:row r="317">
      <x:c r="A317" s="30"/>
    </x:row>
    <x:row r="318">
      <x:c r="A318" s="30"/>
    </x:row>
    <x:row r="319">
      <x:c r="A319" s="30"/>
    </x:row>
    <x:row r="320">
      <x:c r="A320" s="30"/>
    </x:row>
    <x:row r="321">
      <x:c r="A321" s="30"/>
    </x:row>
    <x:row r="322">
      <x:c r="A322" s="30"/>
    </x:row>
    <x:row r="323">
      <x:c r="A323" s="30"/>
    </x:row>
    <x:row r="324">
      <x:c r="A324" s="30"/>
    </x:row>
    <x:row r="325">
      <x:c r="A325" s="30"/>
    </x:row>
    <x:row r="326">
      <x:c r="A326" s="30"/>
    </x:row>
    <x:row r="327">
      <x:c r="A327" s="30"/>
    </x:row>
    <x:row r="328">
      <x:c r="A328" s="30"/>
    </x:row>
    <x:row r="329">
      <x:c r="A329" s="30"/>
    </x:row>
    <x:row r="330">
      <x:c r="A330" s="30"/>
    </x:row>
    <x:row r="331">
      <x:c r="A331" s="30"/>
    </x:row>
    <x:row r="332">
      <x:c r="A332" s="30"/>
    </x:row>
    <x:row r="333">
      <x:c r="A333" s="30"/>
    </x:row>
    <x:row r="334">
      <x:c r="A334" s="30"/>
    </x:row>
    <x:row r="335">
      <x:c r="A335" s="30"/>
    </x:row>
    <x:row r="336">
      <x:c r="A336" s="30"/>
    </x:row>
    <x:row r="337">
      <x:c r="A337" s="30"/>
    </x:row>
    <x:row r="338">
      <x:c r="A338" s="30"/>
    </x:row>
    <x:row r="339">
      <x:c r="A339" s="30"/>
    </x:row>
    <x:row r="340">
      <x:c r="A340" s="30"/>
    </x:row>
    <x:row r="341">
      <x:c r="A341" s="30"/>
    </x:row>
    <x:row r="342">
      <x:c r="A342" s="30"/>
    </x:row>
    <x:row r="343">
      <x:c r="A343" s="30"/>
    </x:row>
    <x:row r="344">
      <x:c r="A344" s="30"/>
    </x:row>
    <x:row r="345">
      <x:c r="A345" s="30"/>
    </x:row>
    <x:row r="346">
      <x:c r="A346" s="30"/>
    </x:row>
    <x:row r="347">
      <x:c r="A347" s="30"/>
    </x:row>
    <x:row r="348">
      <x:c r="A348" s="30"/>
    </x:row>
    <x:row r="349">
      <x:c r="A349" s="30"/>
    </x:row>
    <x:row r="350">
      <x:c r="A350" s="30"/>
    </x:row>
    <x:row r="351">
      <x:c r="A351" s="30"/>
    </x:row>
    <x:row r="352">
      <x:c r="A352" s="30"/>
    </x:row>
    <x:row r="353">
      <x:c r="A353" s="30"/>
    </x:row>
    <x:row r="354">
      <x:c r="A354" s="30"/>
    </x:row>
    <x:row r="355">
      <x:c r="A355" s="30"/>
    </x:row>
    <x:row r="356">
      <x:c r="A356" s="30"/>
    </x:row>
    <x:row r="357">
      <x:c r="A357" s="30"/>
    </x:row>
    <x:row r="358">
      <x:c r="A358" s="30"/>
    </x:row>
    <x:row r="359">
      <x:c r="A359" s="30"/>
    </x:row>
    <x:row r="360">
      <x:c r="A360" s="30"/>
    </x:row>
    <x:row r="361">
      <x:c r="A361" s="30"/>
    </x:row>
    <x:row r="362">
      <x:c r="A362" s="30"/>
    </x:row>
    <x:row r="363">
      <x:c r="A363" s="30"/>
    </x:row>
    <x:row r="364">
      <x:c r="A364" s="30"/>
    </x:row>
    <x:row r="365">
      <x:c r="A365" s="30"/>
    </x:row>
    <x:row r="366">
      <x:c r="A366" s="30"/>
    </x:row>
    <x:row r="367">
      <x:c r="A367" s="30"/>
    </x:row>
    <x:row r="368">
      <x:c r="A368" s="30"/>
    </x:row>
    <x:row r="369">
      <x:c r="A369" s="30"/>
    </x:row>
    <x:row r="370">
      <x:c r="A370" s="30"/>
    </x:row>
    <x:row r="371">
      <x:c r="A371" s="30"/>
    </x:row>
    <x:row r="372">
      <x:c r="A372" s="30"/>
    </x:row>
    <x:row r="373">
      <x:c r="A373" s="30"/>
    </x:row>
    <x:row r="374">
      <x:c r="A374" s="30"/>
    </x:row>
    <x:row r="375">
      <x:c r="A375" s="30"/>
    </x:row>
    <x:row r="376">
      <x:c r="A376" s="30"/>
    </x:row>
    <x:row r="377">
      <x:c r="A377" s="30"/>
    </x:row>
    <x:row r="378">
      <x:c r="A378" s="30"/>
    </x:row>
    <x:row r="379">
      <x:c r="A379" s="30"/>
    </x:row>
    <x:row r="380">
      <x:c r="A380" s="30"/>
    </x:row>
    <x:row r="381">
      <x:c r="A381" s="30"/>
    </x:row>
    <x:row r="382">
      <x:c r="A382" s="30"/>
    </x:row>
    <x:row r="383">
      <x:c r="A383" s="30"/>
    </x:row>
    <x:row r="384">
      <x:c r="A384" s="30"/>
    </x:row>
    <x:row r="385">
      <x:c r="A385" s="30"/>
    </x:row>
    <x:row r="386">
      <x:c r="A386" s="30"/>
    </x:row>
    <x:row r="387">
      <x:c r="A387" s="30"/>
    </x:row>
    <x:row r="388">
      <x:c r="A388" s="30"/>
    </x:row>
    <x:row r="389">
      <x:c r="A389" s="30"/>
    </x:row>
    <x:row r="390">
      <x:c r="A390" s="30"/>
    </x:row>
    <x:row r="391">
      <x:c r="A391" s="30"/>
    </x:row>
    <x:row r="392">
      <x:c r="A392" s="30"/>
    </x:row>
    <x:row r="393">
      <x:c r="A393" s="30"/>
    </x:row>
    <x:row r="394">
      <x:c r="A394" s="30"/>
    </x:row>
    <x:row r="395">
      <x:c r="A395" s="30"/>
    </x:row>
    <x:row r="396">
      <x:c r="A396" s="30"/>
    </x:row>
    <x:row r="397">
      <x:c r="A397" s="30"/>
    </x:row>
    <x:row r="398">
      <x:c r="A398" s="30"/>
    </x:row>
    <x:row r="399">
      <x:c r="A399" s="30"/>
    </x:row>
    <x:row r="400">
      <x:c r="A400" s="30"/>
    </x:row>
    <x:row r="401">
      <x:c r="A401" s="30"/>
    </x:row>
    <x:row r="402">
      <x:c r="A402" s="30"/>
    </x:row>
    <x:row r="403">
      <x:c r="A403" s="30"/>
    </x:row>
    <x:row r="404">
      <x:c r="A404" s="30"/>
    </x:row>
    <x:row r="405">
      <x:c r="A405" s="30"/>
    </x:row>
    <x:row r="406">
      <x:c r="A406" s="30"/>
    </x:row>
    <x:row r="407">
      <x:c r="A407" s="30"/>
    </x:row>
    <x:row r="408">
      <x:c r="A408" s="30"/>
    </x:row>
    <x:row r="409">
      <x:c r="A409" s="30"/>
    </x:row>
    <x:row r="410">
      <x:c r="A410" s="30"/>
    </x:row>
    <x:row r="411">
      <x:c r="A411" s="30"/>
    </x:row>
    <x:row r="412">
      <x:c r="A412" s="30"/>
    </x:row>
    <x:row r="413">
      <x:c r="A413" s="30"/>
    </x:row>
    <x:row r="414">
      <x:c r="A414" s="30"/>
    </x:row>
    <x:row r="415">
      <x:c r="A415" s="30"/>
    </x:row>
    <x:row r="416">
      <x:c r="A416" s="30"/>
    </x:row>
    <x:row r="417">
      <x:c r="A417" s="30"/>
    </x:row>
    <x:row r="418">
      <x:c r="A418" s="30"/>
    </x:row>
    <x:row r="419">
      <x:c r="A419" s="30"/>
    </x:row>
    <x:row r="420">
      <x:c r="A420" s="30"/>
    </x:row>
    <x:row r="421">
      <x:c r="A421" s="30"/>
    </x:row>
    <x:row r="422">
      <x:c r="A422" s="30"/>
    </x:row>
    <x:row r="423">
      <x:c r="A423" s="30"/>
    </x:row>
    <x:row r="424">
      <x:c r="A424" s="30"/>
    </x:row>
    <x:row r="425">
      <x:c r="A425" s="30"/>
    </x:row>
    <x:row r="426">
      <x:c r="A426" s="30"/>
    </x:row>
    <x:row r="427">
      <x:c r="A427" s="30"/>
    </x:row>
    <x:row r="428">
      <x:c r="A428" s="30"/>
    </x:row>
    <x:row r="429">
      <x:c r="A429" s="30"/>
    </x:row>
    <x:row r="430">
      <x:c r="A430" s="30"/>
    </x:row>
    <x:row r="431">
      <x:c r="A431" s="30"/>
    </x:row>
    <x:row r="432">
      <x:c r="A432" s="30"/>
    </x:row>
    <x:row r="433">
      <x:c r="A433" s="30"/>
    </x:row>
    <x:row r="434">
      <x:c r="A434" s="30"/>
    </x:row>
    <x:row r="435">
      <x:c r="A435" s="30"/>
    </x:row>
    <x:row r="436">
      <x:c r="A436" s="30"/>
    </x:row>
    <x:row r="437">
      <x:c r="A437" s="30"/>
    </x:row>
    <x:row r="438">
      <x:c r="A438" s="30"/>
    </x:row>
    <x:row r="439">
      <x:c r="A439" s="30"/>
    </x:row>
    <x:row r="440">
      <x:c r="A440" s="30"/>
    </x:row>
    <x:row r="441">
      <x:c r="A441" s="30"/>
    </x:row>
    <x:row r="442">
      <x:c r="A442" s="30"/>
    </x:row>
    <x:row r="443">
      <x:c r="A443" s="30"/>
    </x:row>
    <x:row r="444">
      <x:c r="A444" s="30"/>
    </x:row>
    <x:row r="445">
      <x:c r="A445" s="30"/>
    </x:row>
    <x:row r="446">
      <x:c r="A446" s="30"/>
    </x:row>
    <x:row r="447">
      <x:c r="A447" s="30"/>
    </x:row>
    <x:row r="448">
      <x:c r="A448" s="30"/>
    </x:row>
    <x:row r="449">
      <x:c r="A449" s="30"/>
    </x:row>
    <x:row r="450">
      <x:c r="A450" s="30"/>
    </x:row>
    <x:row r="451">
      <x:c r="A451" s="30"/>
    </x:row>
    <x:row r="452">
      <x:c r="A452" s="30"/>
    </x:row>
    <x:row r="453">
      <x:c r="A453" s="30"/>
    </x:row>
    <x:row r="454">
      <x:c r="A454" s="30"/>
    </x:row>
    <x:row r="455">
      <x:c r="A455" s="30"/>
    </x:row>
    <x:row r="456">
      <x:c r="A456" s="30"/>
    </x:row>
    <x:row r="457">
      <x:c r="A457" s="30"/>
    </x:row>
    <x:row r="458">
      <x:c r="A458" s="30"/>
    </x:row>
    <x:row r="459">
      <x:c r="A459" s="30"/>
    </x:row>
    <x:row r="460">
      <x:c r="A460" s="30"/>
    </x:row>
    <x:row r="461">
      <x:c r="A461" s="30"/>
    </x:row>
    <x:row r="462">
      <x:c r="A462" s="30"/>
    </x:row>
    <x:row r="463">
      <x:c r="A463" s="30"/>
    </x:row>
    <x:row r="464">
      <x:c r="A464" s="30"/>
    </x:row>
    <x:row r="465">
      <x:c r="A465" s="30"/>
    </x:row>
    <x:row r="466">
      <x:c r="A466" s="30"/>
    </x:row>
    <x:row r="467">
      <x:c r="A467" s="30"/>
    </x:row>
    <x:row r="468">
      <x:c r="A468" s="30"/>
    </x:row>
    <x:row r="469">
      <x:c r="A469" s="30"/>
    </x:row>
    <x:row r="470">
      <x:c r="A470" s="30"/>
    </x:row>
    <x:row r="471">
      <x:c r="A471" s="30"/>
    </x:row>
    <x:row r="472">
      <x:c r="A472" s="30"/>
    </x:row>
    <x:row r="473">
      <x:c r="A473" s="30"/>
    </x:row>
    <x:row r="474">
      <x:c r="A474" s="30"/>
    </x:row>
    <x:row r="475">
      <x:c r="A475" s="30"/>
    </x:row>
    <x:row r="476">
      <x:c r="A476" s="30"/>
    </x:row>
    <x:row r="477">
      <x:c r="A477" s="30"/>
    </x:row>
    <x:row r="478">
      <x:c r="A478" s="30"/>
    </x:row>
    <x:row r="479">
      <x:c r="A479" s="30"/>
    </x:row>
    <x:row r="480">
      <x:c r="A480" s="30"/>
    </x:row>
    <x:row r="481">
      <x:c r="A481" s="30"/>
    </x:row>
    <x:row r="482">
      <x:c r="A482" s="30"/>
    </x:row>
    <x:row r="483">
      <x:c r="A483" s="30"/>
    </x:row>
    <x:row r="484">
      <x:c r="A484" s="30"/>
    </x:row>
    <x:row r="485">
      <x:c r="A485" s="30"/>
    </x:row>
    <x:row r="486">
      <x:c r="A486" s="30"/>
    </x:row>
    <x:row r="487">
      <x:c r="A487" s="30"/>
    </x:row>
    <x:row r="488">
      <x:c r="A488" s="30"/>
    </x:row>
    <x:row r="489">
      <x:c r="A489" s="30"/>
    </x:row>
    <x:row r="490">
      <x:c r="A490" s="30"/>
    </x:row>
    <x:row r="491">
      <x:c r="A491" s="30"/>
    </x:row>
    <x:row r="492">
      <x:c r="A492" s="30"/>
    </x:row>
    <x:row r="493">
      <x:c r="A493" s="30"/>
    </x:row>
    <x:row r="494">
      <x:c r="A494" s="30"/>
    </x:row>
    <x:row r="495">
      <x:c r="A495" s="30"/>
    </x:row>
    <x:row r="496">
      <x:c r="A496" s="30"/>
    </x:row>
    <x:row r="497">
      <x:c r="A497" s="30"/>
    </x:row>
    <x:row r="498">
      <x:c r="A498" s="30"/>
    </x:row>
    <x:row r="499">
      <x:c r="A499" s="30"/>
    </x:row>
    <x:row r="500">
      <x:c r="A500" s="30"/>
    </x:row>
    <x:row r="501">
      <x:c r="A501" s="30"/>
    </x:row>
    <x:row r="502">
      <x:c r="A502" s="30"/>
    </x:row>
    <x:row r="503">
      <x:c r="A503" s="30"/>
    </x:row>
    <x:row r="504">
      <x:c r="A504" s="30"/>
    </x:row>
    <x:row r="505">
      <x:c r="A505" s="30"/>
    </x:row>
    <x:row r="506">
      <x:c r="A506" s="30"/>
    </x:row>
    <x:row r="507">
      <x:c r="A507" s="30"/>
    </x:row>
    <x:row r="508">
      <x:c r="A508" s="30"/>
    </x:row>
    <x:row r="509">
      <x:c r="A509" s="30"/>
    </x:row>
    <x:row r="510">
      <x:c r="A510" s="30"/>
    </x:row>
    <x:row r="511">
      <x:c r="A511" s="30"/>
    </x:row>
    <x:row r="512">
      <x:c r="A512" s="30"/>
    </x:row>
    <x:row r="513">
      <x:c r="A513" s="30"/>
    </x:row>
    <x:row r="514">
      <x:c r="A514" s="30"/>
    </x:row>
    <x:row r="515">
      <x:c r="A515" s="30"/>
    </x:row>
    <x:row r="516">
      <x:c r="A516" s="30"/>
    </x:row>
    <x:row r="517">
      <x:c r="A517" s="30"/>
    </x:row>
    <x:row r="518">
      <x:c r="A518" s="30"/>
    </x:row>
    <x:row r="519">
      <x:c r="A519" s="30"/>
    </x:row>
    <x:row r="520">
      <x:c r="A520" s="30"/>
    </x:row>
    <x:row r="521">
      <x:c r="A521" s="30"/>
    </x:row>
    <x:row r="522">
      <x:c r="A522" s="30"/>
    </x:row>
    <x:row r="523">
      <x:c r="A523" s="30"/>
    </x:row>
    <x:row r="524">
      <x:c r="A524" s="30"/>
    </x:row>
    <x:row r="525">
      <x:c r="A525" s="30"/>
    </x:row>
    <x:row r="526">
      <x:c r="A526" s="30"/>
    </x:row>
    <x:row r="527">
      <x:c r="A527" s="30"/>
    </x:row>
    <x:row r="528">
      <x:c r="A528" s="30"/>
    </x:row>
    <x:row r="529">
      <x:c r="A529" s="30"/>
    </x:row>
    <x:row r="530">
      <x:c r="A530" s="30"/>
    </x:row>
    <x:row r="531">
      <x:c r="A531" s="30"/>
    </x:row>
    <x:row r="532">
      <x:c r="A532" s="30"/>
    </x:row>
    <x:row r="533">
      <x:c r="A533" s="30"/>
    </x:row>
    <x:row r="534">
      <x:c r="A534" s="30"/>
    </x:row>
    <x:row r="535">
      <x:c r="A535" s="30"/>
    </x:row>
    <x:row r="536">
      <x:c r="A536" s="30"/>
    </x:row>
    <x:row r="537">
      <x:c r="A537" s="30"/>
    </x:row>
    <x:row r="538">
      <x:c r="A538" s="30"/>
    </x:row>
    <x:row r="539">
      <x:c r="A539" s="30"/>
    </x:row>
    <x:row r="540">
      <x:c r="A540" s="30"/>
    </x:row>
    <x:row r="541">
      <x:c r="A541" s="30"/>
    </x:row>
    <x:row r="542">
      <x:c r="A542" s="30"/>
    </x:row>
    <x:row r="543">
      <x:c r="A543" s="30"/>
    </x:row>
    <x:row r="544">
      <x:c r="A544" s="30"/>
    </x:row>
    <x:row r="545">
      <x:c r="A545" s="30"/>
    </x:row>
    <x:row r="546">
      <x:c r="A546" s="30"/>
    </x:row>
    <x:row r="547">
      <x:c r="A547" s="30"/>
    </x:row>
    <x:row r="548">
      <x:c r="A548" s="30"/>
    </x:row>
    <x:row r="549">
      <x:c r="A549" s="30"/>
    </x:row>
    <x:row r="550">
      <x:c r="A550" s="30"/>
    </x:row>
    <x:row r="551">
      <x:c r="A551" s="30"/>
    </x:row>
    <x:row r="552">
      <x:c r="A552" s="30"/>
    </x:row>
    <x:row r="553">
      <x:c r="A553" s="30"/>
    </x:row>
    <x:row r="554">
      <x:c r="A554" s="30"/>
    </x:row>
    <x:row r="555">
      <x:c r="A555" s="30"/>
    </x:row>
    <x:row r="556">
      <x:c r="A556" s="30"/>
    </x:row>
    <x:row r="557">
      <x:c r="A557" s="30"/>
    </x:row>
    <x:row r="558">
      <x:c r="A558" s="30"/>
    </x:row>
    <x:row r="559">
      <x:c r="A559" s="30"/>
    </x:row>
    <x:row r="560">
      <x:c r="A560" s="30"/>
    </x:row>
    <x:row r="561">
      <x:c r="A561" s="30"/>
    </x:row>
    <x:row r="562">
      <x:c r="A562" s="30"/>
    </x:row>
    <x:row r="563">
      <x:c r="A563" s="30"/>
    </x:row>
    <x:row r="564">
      <x:c r="A564" s="30"/>
    </x:row>
    <x:row r="565">
      <x:c r="A565" s="30"/>
    </x:row>
    <x:row r="566">
      <x:c r="A566" s="30"/>
    </x:row>
    <x:row r="567">
      <x:c r="A567" s="30"/>
    </x:row>
    <x:row r="568">
      <x:c r="A568" s="30"/>
    </x:row>
    <x:row r="569">
      <x:c r="A569" s="30"/>
    </x:row>
    <x:row r="570">
      <x:c r="A570" s="30"/>
    </x:row>
    <x:row r="571">
      <x:c r="A571" s="30"/>
    </x:row>
    <x:row r="572">
      <x:c r="A572" s="30"/>
    </x:row>
    <x:row r="573">
      <x:c r="A573" s="30"/>
    </x:row>
    <x:row r="574">
      <x:c r="A574" s="30"/>
    </x:row>
    <x:row r="575">
      <x:c r="A575" s="30"/>
    </x:row>
    <x:row r="576">
      <x:c r="A576" s="30"/>
    </x:row>
    <x:row r="577">
      <x:c r="A577" s="30"/>
    </x:row>
    <x:row r="578">
      <x:c r="A578" s="30"/>
    </x:row>
    <x:row r="579">
      <x:c r="A579" s="30"/>
    </x:row>
    <x:row r="580">
      <x:c r="A580" s="30"/>
    </x:row>
    <x:row r="581">
      <x:c r="A581" s="30"/>
    </x:row>
    <x:row r="582">
      <x:c r="A582" s="30"/>
    </x:row>
    <x:row r="583">
      <x:c r="A583" s="30"/>
    </x:row>
    <x:row r="584">
      <x:c r="A584" s="30"/>
    </x:row>
    <x:row r="585">
      <x:c r="A585" s="30"/>
    </x:row>
    <x:row r="586">
      <x:c r="A586" s="30"/>
    </x:row>
    <x:row r="587">
      <x:c r="A587" s="30"/>
    </x:row>
    <x:row r="588">
      <x:c r="A588" s="30"/>
    </x:row>
    <x:row r="589">
      <x:c r="A589" s="30"/>
    </x:row>
    <x:row r="590">
      <x:c r="A590" s="30"/>
    </x:row>
    <x:row r="591">
      <x:c r="A591" s="30"/>
    </x:row>
    <x:row r="592">
      <x:c r="A592" s="30"/>
    </x:row>
    <x:row r="593">
      <x:c r="A593" s="30"/>
    </x:row>
    <x:row r="594">
      <x:c r="A594" s="30"/>
    </x:row>
    <x:row r="595">
      <x:c r="A595" s="30"/>
    </x:row>
    <x:row r="596">
      <x:c r="A596" s="30"/>
    </x:row>
    <x:row r="597">
      <x:c r="A597" s="30"/>
    </x:row>
    <x:row r="598">
      <x:c r="A598" s="30"/>
    </x:row>
    <x:row r="599">
      <x:c r="A599" s="30"/>
    </x:row>
    <x:row r="600">
      <x:c r="A600" s="30"/>
    </x:row>
    <x:row r="601">
      <x:c r="A601" s="30"/>
    </x:row>
    <x:row r="602">
      <x:c r="A602" s="30"/>
    </x:row>
    <x:row r="603">
      <x:c r="A603" s="30"/>
    </x:row>
    <x:row r="604">
      <x:c r="A604" s="30"/>
    </x:row>
    <x:row r="605">
      <x:c r="A605" s="30"/>
    </x:row>
    <x:row r="606">
      <x:c r="A606" s="30"/>
    </x:row>
    <x:row r="607">
      <x:c r="A607" s="30"/>
    </x:row>
    <x:row r="608">
      <x:c r="A608" s="30"/>
    </x:row>
    <x:row r="609">
      <x:c r="A609" s="30"/>
    </x:row>
    <x:row r="610">
      <x:c r="A610" s="30"/>
    </x:row>
    <x:row r="611">
      <x:c r="A611" s="30"/>
    </x:row>
    <x:row r="612">
      <x:c r="A612" s="30"/>
    </x:row>
    <x:row r="613">
      <x:c r="A613" s="30"/>
    </x:row>
    <x:row r="614">
      <x:c r="A614" s="30"/>
    </x:row>
    <x:row r="615">
      <x:c r="A615" s="30"/>
    </x:row>
    <x:row r="616">
      <x:c r="A616" s="30"/>
    </x:row>
    <x:row r="617">
      <x:c r="A617" s="30"/>
    </x:row>
    <x:row r="618">
      <x:c r="A618" s="30"/>
    </x:row>
    <x:row r="619">
      <x:c r="A619" s="30"/>
    </x:row>
    <x:row r="620">
      <x:c r="A620" s="30"/>
    </x:row>
    <x:row r="621">
      <x:c r="A621" s="30"/>
    </x:row>
    <x:row r="622">
      <x:c r="A622" s="30"/>
    </x:row>
    <x:row r="623">
      <x:c r="A623" s="30"/>
    </x:row>
    <x:row r="624">
      <x:c r="A624" s="30"/>
    </x:row>
    <x:row r="625">
      <x:c r="A625" s="30"/>
    </x:row>
    <x:row r="626">
      <x:c r="A626" s="30"/>
    </x:row>
    <x:row r="627">
      <x:c r="A627" s="30"/>
    </x:row>
    <x:row r="628">
      <x:c r="A628" s="30"/>
    </x:row>
    <x:row r="629">
      <x:c r="A629" s="30"/>
    </x:row>
    <x:row r="630">
      <x:c r="A630" s="30"/>
    </x:row>
    <x:row r="631">
      <x:c r="A631" s="30"/>
    </x:row>
    <x:row r="632">
      <x:c r="A632" s="30"/>
    </x:row>
    <x:row r="633">
      <x:c r="A633" s="30"/>
    </x:row>
    <x:row r="634">
      <x:c r="A634" s="30"/>
    </x:row>
    <x:row r="635">
      <x:c r="A635" s="30"/>
    </x:row>
    <x:row r="636">
      <x:c r="A636" s="30"/>
    </x:row>
    <x:row r="637">
      <x:c r="A637" s="30"/>
    </x:row>
    <x:row r="638">
      <x:c r="A638" s="30"/>
    </x:row>
    <x:row r="639">
      <x:c r="A639" s="30"/>
    </x:row>
    <x:row r="640">
      <x:c r="A640" s="30"/>
    </x:row>
    <x:row r="641">
      <x:c r="A641" s="30"/>
    </x:row>
    <x:row r="642">
      <x:c r="A642" s="30"/>
    </x:row>
    <x:row r="643">
      <x:c r="A643" s="30"/>
    </x:row>
    <x:row r="644">
      <x:c r="A644" s="30"/>
    </x:row>
    <x:row r="645">
      <x:c r="A645" s="30"/>
    </x:row>
    <x:row r="646">
      <x:c r="A646" s="30"/>
    </x:row>
    <x:row r="647">
      <x:c r="A647" s="30"/>
    </x:row>
    <x:row r="648">
      <x:c r="A648" s="30"/>
    </x:row>
    <x:row r="649">
      <x:c r="A649" s="30"/>
    </x:row>
    <x:row r="650">
      <x:c r="A650" s="30"/>
    </x:row>
    <x:row r="651">
      <x:c r="A651" s="30"/>
    </x:row>
    <x:row r="652">
      <x:c r="A652" s="30"/>
    </x:row>
    <x:row r="653">
      <x:c r="A653" s="30"/>
    </x:row>
    <x:row r="654">
      <x:c r="A654" s="30"/>
    </x:row>
    <x:row r="655">
      <x:c r="A655" s="30"/>
    </x:row>
    <x:row r="656">
      <x:c r="A656" s="30"/>
    </x:row>
    <x:row r="657">
      <x:c r="A657" s="30"/>
    </x:row>
    <x:row r="658">
      <x:c r="A658" s="30"/>
    </x:row>
    <x:row r="659">
      <x:c r="A659" s="30"/>
    </x:row>
    <x:row r="660">
      <x:c r="A660" s="30"/>
    </x:row>
    <x:row r="661">
      <x:c r="A661" s="30"/>
    </x:row>
    <x:row r="662">
      <x:c r="A662" s="30"/>
    </x:row>
    <x:row r="663">
      <x:c r="A663" s="30"/>
    </x:row>
    <x:row r="664">
      <x:c r="A664" s="30"/>
    </x:row>
    <x:row r="665">
      <x:c r="A665" s="30"/>
    </x:row>
    <x:row r="666">
      <x:c r="A666" s="30"/>
    </x:row>
    <x:row r="667">
      <x:c r="A667" s="30"/>
    </x:row>
    <x:row r="668">
      <x:c r="A668" s="30"/>
    </x:row>
    <x:row r="669">
      <x:c r="A669" s="30"/>
    </x:row>
    <x:row r="670">
      <x:c r="A670" s="30"/>
    </x:row>
    <x:row r="671">
      <x:c r="A671" s="30"/>
    </x:row>
    <x:row r="672">
      <x:c r="A672" s="30"/>
    </x:row>
    <x:row r="673">
      <x:c r="A673" s="30"/>
    </x:row>
    <x:row r="674">
      <x:c r="A674" s="30"/>
    </x:row>
    <x:row r="675">
      <x:c r="A675" s="30"/>
    </x:row>
    <x:row r="676">
      <x:c r="A676" s="30"/>
    </x:row>
    <x:row r="677">
      <x:c r="A677" s="30"/>
    </x:row>
    <x:row r="678">
      <x:c r="A678" s="30"/>
    </x:row>
    <x:row r="679">
      <x:c r="A679" s="30"/>
    </x:row>
    <x:row r="680">
      <x:c r="A680" s="30"/>
    </x:row>
    <x:row r="681">
      <x:c r="A681" s="30"/>
    </x:row>
    <x:row r="682">
      <x:c r="A682" s="30"/>
    </x:row>
    <x:row r="683">
      <x:c r="A683" s="30"/>
    </x:row>
    <x:row r="684">
      <x:c r="A684" s="30"/>
    </x:row>
    <x:row r="685">
      <x:c r="A685" s="30"/>
    </x:row>
    <x:row r="686">
      <x:c r="A686" s="30"/>
    </x:row>
    <x:row r="687">
      <x:c r="A687" s="30"/>
    </x:row>
    <x:row r="688">
      <x:c r="A688" s="30"/>
    </x:row>
    <x:row r="689">
      <x:c r="A689" s="30"/>
    </x:row>
    <x:row r="690">
      <x:c r="A690" s="30"/>
    </x:row>
    <x:row r="691">
      <x:c r="A691" s="30"/>
    </x:row>
    <x:row r="692">
      <x:c r="A692" s="30"/>
    </x:row>
    <x:row r="693">
      <x:c r="A693" s="30"/>
    </x:row>
    <x:row r="694">
      <x:c r="A694" s="30"/>
    </x:row>
    <x:row r="695">
      <x:c r="A695" s="30"/>
    </x:row>
    <x:row r="696">
      <x:c r="A696" s="30"/>
    </x:row>
    <x:row r="697">
      <x:c r="A697" s="30"/>
    </x:row>
    <x:row r="698">
      <x:c r="A698" s="30"/>
    </x:row>
    <x:row r="699">
      <x:c r="A699" s="30"/>
    </x:row>
    <x:row r="700">
      <x:c r="A700" s="30"/>
    </x:row>
    <x:row r="701">
      <x:c r="A701" s="30"/>
    </x:row>
    <x:row r="702">
      <x:c r="A702" s="30"/>
    </x:row>
    <x:row r="703">
      <x:c r="A703" s="30"/>
    </x:row>
    <x:row r="704">
      <x:c r="A704" s="30"/>
    </x:row>
    <x:row r="705">
      <x:c r="A705" s="30"/>
    </x:row>
    <x:row r="706">
      <x:c r="A706" s="30"/>
    </x:row>
    <x:row r="707">
      <x:c r="A707" s="30"/>
    </x:row>
    <x:row r="708">
      <x:c r="A708" s="30"/>
    </x:row>
    <x:row r="709">
      <x:c r="A709" s="30"/>
    </x:row>
    <x:row r="710">
      <x:c r="A710" s="30"/>
    </x:row>
    <x:row r="711">
      <x:c r="A711" s="30"/>
    </x:row>
    <x:row r="712">
      <x:c r="A712" s="30"/>
    </x:row>
    <x:row r="713">
      <x:c r="A713" s="30"/>
    </x:row>
    <x:row r="714">
      <x:c r="A714" s="30"/>
    </x:row>
    <x:row r="715">
      <x:c r="A715" s="30"/>
    </x:row>
    <x:row r="716">
      <x:c r="A716" s="30"/>
    </x:row>
    <x:row r="717">
      <x:c r="A717" s="30"/>
    </x:row>
    <x:row r="718">
      <x:c r="A718" s="30"/>
    </x:row>
    <x:row r="719">
      <x:c r="A719" s="30"/>
    </x:row>
    <x:row r="720">
      <x:c r="A720" s="30"/>
    </x:row>
    <x:row r="721">
      <x:c r="A721" s="30"/>
    </x:row>
    <x:row r="722">
      <x:c r="A722" s="30"/>
    </x:row>
    <x:row r="723">
      <x:c r="A723" s="30"/>
    </x:row>
    <x:row r="724">
      <x:c r="A724" s="30"/>
    </x:row>
    <x:row r="725">
      <x:c r="A725" s="30"/>
    </x:row>
    <x:row r="726">
      <x:c r="A726" s="30"/>
    </x:row>
    <x:row r="727">
      <x:c r="A727" s="30"/>
    </x:row>
    <x:row r="728">
      <x:c r="A728" s="30"/>
    </x:row>
    <x:row r="729">
      <x:c r="A729" s="30"/>
    </x:row>
    <x:row r="730">
      <x:c r="A730" s="30"/>
    </x:row>
    <x:row r="731">
      <x:c r="A731" s="30"/>
    </x:row>
    <x:row r="732">
      <x:c r="A732" s="30"/>
    </x:row>
    <x:row r="733">
      <x:c r="A733" s="30"/>
    </x:row>
    <x:row r="734">
      <x:c r="A734" s="30"/>
    </x:row>
    <x:row r="735">
      <x:c r="A735" s="30"/>
    </x:row>
    <x:row r="736">
      <x:c r="A736" s="30"/>
    </x:row>
    <x:row r="737">
      <x:c r="A737" s="30"/>
    </x:row>
    <x:row r="738">
      <x:c r="A738" s="30"/>
    </x:row>
    <x:row r="739">
      <x:c r="A739" s="30"/>
    </x:row>
    <x:row r="740">
      <x:c r="A740" s="30"/>
    </x:row>
    <x:row r="741">
      <x:c r="A741" s="30"/>
    </x:row>
    <x:row r="742">
      <x:c r="A742" s="30"/>
    </x:row>
    <x:row r="743">
      <x:c r="A743" s="30"/>
    </x:row>
    <x:row r="744">
      <x:c r="A744" s="30"/>
    </x:row>
    <x:row r="745">
      <x:c r="A745" s="30"/>
    </x:row>
    <x:row r="746">
      <x:c r="A746" s="30"/>
    </x:row>
    <x:row r="747">
      <x:c r="A747" s="30"/>
    </x:row>
    <x:row r="748">
      <x:c r="A748" s="30"/>
    </x:row>
    <x:row r="749">
      <x:c r="A749" s="30"/>
    </x:row>
    <x:row r="750">
      <x:c r="A750" s="30"/>
    </x:row>
    <x:row r="751">
      <x:c r="A751" s="30"/>
    </x:row>
    <x:row r="752">
      <x:c r="A752" s="30"/>
    </x:row>
    <x:row r="753">
      <x:c r="A753" s="30"/>
    </x:row>
    <x:row r="754">
      <x:c r="A754" s="30"/>
    </x:row>
    <x:row r="755">
      <x:c r="A755" s="30"/>
    </x:row>
    <x:row r="756">
      <x:c r="A756" s="30"/>
    </x:row>
    <x:row r="757">
      <x:c r="A757" s="30"/>
    </x:row>
    <x:row r="758">
      <x:c r="A758" s="30"/>
    </x:row>
    <x:row r="759">
      <x:c r="A759" s="30"/>
    </x:row>
    <x:row r="760">
      <x:c r="A760" s="30"/>
    </x:row>
    <x:row r="761">
      <x:c r="A761" s="30"/>
    </x:row>
    <x:row r="762">
      <x:c r="A762" s="30"/>
    </x:row>
    <x:row r="763">
      <x:c r="A763" s="30"/>
    </x:row>
    <x:row r="764">
      <x:c r="A764" s="30"/>
    </x:row>
    <x:row r="765">
      <x:c r="A765" s="30"/>
    </x:row>
    <x:row r="766">
      <x:c r="A766" s="30"/>
    </x:row>
    <x:row r="767">
      <x:c r="A767" s="30"/>
    </x:row>
    <x:row r="768">
      <x:c r="A768" s="30"/>
    </x:row>
    <x:row r="769">
      <x:c r="A769" s="30"/>
    </x:row>
    <x:row r="770">
      <x:c r="A770" s="30"/>
    </x:row>
    <x:row r="771">
      <x:c r="A771" s="30"/>
    </x:row>
    <x:row r="772">
      <x:c r="A772" s="30"/>
    </x:row>
    <x:row r="773">
      <x:c r="A773" s="30"/>
    </x:row>
    <x:row r="774">
      <x:c r="A774" s="30"/>
    </x:row>
    <x:row r="775">
      <x:c r="A775" s="30"/>
    </x:row>
    <x:row r="776">
      <x:c r="A776" s="30"/>
    </x:row>
    <x:row r="777">
      <x:c r="A777" s="30"/>
    </x:row>
    <x:row r="778">
      <x:c r="A778" s="30"/>
    </x:row>
    <x:row r="779">
      <x:c r="A779" s="30"/>
    </x:row>
    <x:row r="780">
      <x:c r="A780" s="30"/>
    </x:row>
    <x:row r="781">
      <x:c r="A781" s="30"/>
    </x:row>
    <x:row r="782">
      <x:c r="A782" s="30"/>
    </x:row>
    <x:row r="783">
      <x:c r="A783" s="30"/>
    </x:row>
    <x:row r="784">
      <x:c r="A784" s="30"/>
    </x:row>
    <x:row r="785">
      <x:c r="A785" s="30"/>
    </x:row>
    <x:row r="786">
      <x:c r="A786" s="30"/>
    </x:row>
    <x:row r="787">
      <x:c r="A787" s="30"/>
    </x:row>
    <x:row r="788">
      <x:c r="A788" s="30"/>
    </x:row>
    <x:row r="789">
      <x:c r="A789" s="30"/>
    </x:row>
    <x:row r="790">
      <x:c r="A790" s="30"/>
    </x:row>
    <x:row r="791">
      <x:c r="A791" s="30"/>
    </x:row>
    <x:row r="792">
      <x:c r="A792" s="30"/>
    </x:row>
    <x:row r="793">
      <x:c r="A793" s="30"/>
    </x:row>
    <x:row r="794">
      <x:c r="A794" s="30"/>
    </x:row>
    <x:row r="795">
      <x:c r="A795" s="30"/>
    </x:row>
    <x:row r="796">
      <x:c r="A796" s="30"/>
    </x:row>
    <x:row r="797">
      <x:c r="A797" s="30"/>
    </x:row>
    <x:row r="798">
      <x:c r="A798" s="30"/>
    </x:row>
    <x:row r="799">
      <x:c r="A799" s="30"/>
    </x:row>
    <x:row r="800">
      <x:c r="A800" s="30"/>
    </x:row>
    <x:row r="801">
      <x:c r="A801" s="30"/>
    </x:row>
    <x:row r="802">
      <x:c r="A802" s="30"/>
    </x:row>
    <x:row r="803">
      <x:c r="A803" s="30"/>
    </x:row>
    <x:row r="804">
      <x:c r="A804" s="30"/>
    </x:row>
    <x:row r="805">
      <x:c r="A805" s="30"/>
    </x:row>
    <x:row r="806">
      <x:c r="A806" s="30"/>
    </x:row>
    <x:row r="807">
      <x:c r="A807" s="30"/>
    </x:row>
    <x:row r="808">
      <x:c r="A808" s="30"/>
    </x:row>
    <x:row r="809">
      <x:c r="A809" s="30"/>
    </x:row>
    <x:row r="810">
      <x:c r="A810" s="30"/>
    </x:row>
    <x:row r="811">
      <x:c r="A811" s="30"/>
    </x:row>
    <x:row r="812">
      <x:c r="A812" s="30"/>
    </x:row>
    <x:row r="813">
      <x:c r="A813" s="30"/>
    </x:row>
    <x:row r="814">
      <x:c r="A814" s="30"/>
    </x:row>
    <x:row r="815">
      <x:c r="A815" s="30"/>
    </x:row>
    <x:row r="816">
      <x:c r="A816" s="30"/>
    </x:row>
    <x:row r="817">
      <x:c r="A817" s="30"/>
    </x:row>
    <x:row r="818">
      <x:c r="A818" s="30"/>
    </x:row>
    <x:row r="819">
      <x:c r="A819" s="30"/>
    </x:row>
    <x:row r="820">
      <x:c r="A820" s="30"/>
    </x:row>
    <x:row r="821">
      <x:c r="A821" s="30"/>
    </x:row>
    <x:row r="822">
      <x:c r="A822" s="30"/>
    </x:row>
    <x:row r="823">
      <x:c r="A823" s="30"/>
    </x:row>
    <x:row r="824">
      <x:c r="A824" s="30"/>
    </x:row>
    <x:row r="825">
      <x:c r="A825" s="30"/>
    </x:row>
    <x:row r="826">
      <x:c r="A826" s="30"/>
    </x:row>
    <x:row r="827">
      <x:c r="A827" s="30"/>
    </x:row>
    <x:row r="828">
      <x:c r="A828" s="30"/>
    </x:row>
    <x:row r="829">
      <x:c r="A829" s="30"/>
    </x:row>
    <x:row r="830">
      <x:c r="A830" s="30"/>
    </x:row>
    <x:row r="831">
      <x:c r="A831" s="30"/>
    </x:row>
    <x:row r="832">
      <x:c r="A832" s="30"/>
    </x:row>
    <x:row r="833">
      <x:c r="A833" s="30"/>
    </x:row>
    <x:row r="834">
      <x:c r="A834" s="30"/>
    </x:row>
    <x:row r="835">
      <x:c r="A835" s="30"/>
    </x:row>
    <x:row r="836">
      <x:c r="A836" s="30"/>
    </x:row>
    <x:row r="837">
      <x:c r="A837" s="30"/>
    </x:row>
    <x:row r="838">
      <x:c r="A838" s="30"/>
    </x:row>
    <x:row r="839">
      <x:c r="A839" s="30"/>
    </x:row>
    <x:row r="840">
      <x:c r="A840" s="30"/>
    </x:row>
    <x:row r="841">
      <x:c r="A841" s="30"/>
    </x:row>
    <x:row r="842">
      <x:c r="A842" s="30"/>
    </x:row>
    <x:row r="843">
      <x:c r="A843" s="30"/>
    </x:row>
    <x:row r="844">
      <x:c r="A844" s="30"/>
    </x:row>
    <x:row r="845">
      <x:c r="A845" s="30"/>
    </x:row>
    <x:row r="846">
      <x:c r="A846" s="30"/>
    </x:row>
    <x:row r="847">
      <x:c r="A847" s="30"/>
    </x:row>
    <x:row r="848">
      <x:c r="A848" s="30"/>
    </x:row>
    <x:row r="849">
      <x:c r="A849" s="30"/>
    </x:row>
    <x:row r="850">
      <x:c r="A850" s="30"/>
    </x:row>
    <x:row r="851">
      <x:c r="A851" s="30"/>
    </x:row>
    <x:row r="852">
      <x:c r="A852" s="30"/>
    </x:row>
    <x:row r="853">
      <x:c r="A853" s="30"/>
    </x:row>
    <x:row r="854">
      <x:c r="A854" s="30"/>
    </x:row>
    <x:row r="855">
      <x:c r="A855" s="30"/>
    </x:row>
    <x:row r="856">
      <x:c r="A856" s="30"/>
    </x:row>
    <x:row r="857">
      <x:c r="A857" s="30"/>
    </x:row>
    <x:row r="858">
      <x:c r="A858" s="30"/>
    </x:row>
    <x:row r="859">
      <x:c r="A859" s="30"/>
    </x:row>
    <x:row r="860">
      <x:c r="A860" s="30"/>
    </x:row>
    <x:row r="861">
      <x:c r="A861" s="30"/>
    </x:row>
    <x:row r="862">
      <x:c r="A862" s="30"/>
    </x:row>
    <x:row r="863">
      <x:c r="A863" s="30"/>
    </x:row>
    <x:row r="864">
      <x:c r="A864" s="30"/>
    </x:row>
    <x:row r="865">
      <x:c r="A865" s="30"/>
    </x:row>
    <x:row r="866">
      <x:c r="A866" s="30"/>
    </x:row>
    <x:row r="867">
      <x:c r="A867" s="30"/>
    </x:row>
    <x:row r="868">
      <x:c r="A868" s="30"/>
    </x:row>
    <x:row r="869">
      <x:c r="A869" s="30"/>
    </x:row>
    <x:row r="870">
      <x:c r="A870" s="30"/>
    </x:row>
    <x:row r="871">
      <x:c r="A871" s="30"/>
    </x:row>
    <x:row r="872">
      <x:c r="A872" s="30"/>
    </x:row>
    <x:row r="873">
      <x:c r="A873" s="30"/>
    </x:row>
    <x:row r="874">
      <x:c r="A874" s="30"/>
    </x:row>
    <x:row r="875">
      <x:c r="A875" s="30"/>
    </x:row>
    <x:row r="876">
      <x:c r="A876" s="30"/>
    </x:row>
    <x:row r="877">
      <x:c r="A877" s="30"/>
    </x:row>
    <x:row r="878">
      <x:c r="A878" s="30"/>
    </x:row>
    <x:row r="879">
      <x:c r="A879" s="30"/>
    </x:row>
    <x:row r="880">
      <x:c r="A880" s="30"/>
    </x:row>
    <x:row r="881">
      <x:c r="A881" s="30"/>
    </x:row>
    <x:row r="882">
      <x:c r="A882" s="30"/>
    </x:row>
    <x:row r="883">
      <x:c r="A883" s="30"/>
    </x:row>
    <x:row r="884">
      <x:c r="A884" s="30"/>
    </x:row>
    <x:row r="885">
      <x:c r="A885" s="30"/>
    </x:row>
    <x:row r="886">
      <x:c r="A886" s="30"/>
    </x:row>
    <x:row r="887">
      <x:c r="A887" s="30"/>
    </x:row>
    <x:row r="888">
      <x:c r="A888" s="30"/>
    </x:row>
    <x:row r="889">
      <x:c r="A889" s="30"/>
    </x:row>
    <x:row r="890">
      <x:c r="A890" s="30"/>
    </x:row>
    <x:row r="891">
      <x:c r="A891" s="30"/>
    </x:row>
    <x:row r="892">
      <x:c r="A892" s="30"/>
    </x:row>
    <x:row r="893">
      <x:c r="A893" s="30"/>
    </x:row>
    <x:row r="894">
      <x:c r="A894" s="30"/>
    </x:row>
    <x:row r="895">
      <x:c r="A895" s="30"/>
    </x:row>
    <x:row r="896">
      <x:c r="A896" s="30"/>
    </x:row>
    <x:row r="897">
      <x:c r="A897" s="30"/>
    </x:row>
    <x:row r="898">
      <x:c r="A898" s="30"/>
    </x:row>
    <x:row r="899">
      <x:c r="A899" s="30"/>
    </x:row>
    <x:row r="900">
      <x:c r="A900" s="30"/>
    </x:row>
    <x:row r="901">
      <x:c r="A901" s="30"/>
    </x:row>
    <x:row r="902">
      <x:c r="A902" s="30"/>
    </x:row>
    <x:row r="903">
      <x:c r="A903" s="30"/>
    </x:row>
    <x:row r="904">
      <x:c r="A904" s="30"/>
    </x:row>
    <x:row r="905">
      <x:c r="A905" s="30"/>
    </x:row>
    <x:row r="906">
      <x:c r="A906" s="30"/>
    </x:row>
    <x:row r="907">
      <x:c r="A907" s="30"/>
    </x:row>
    <x:row r="908">
      <x:c r="A908" s="30"/>
    </x:row>
    <x:row r="909">
      <x:c r="A909" s="30"/>
    </x:row>
    <x:row r="910">
      <x:c r="A910" s="30"/>
    </x:row>
    <x:row r="911">
      <x:c r="A911" s="30"/>
    </x:row>
    <x:row r="912">
      <x:c r="A912" s="30"/>
    </x:row>
    <x:row r="913">
      <x:c r="A913" s="30"/>
    </x:row>
    <x:row r="914">
      <x:c r="A914" s="30"/>
    </x:row>
    <x:row r="915">
      <x:c r="A915" s="30"/>
    </x:row>
    <x:row r="916">
      <x:c r="A916" s="30"/>
    </x:row>
    <x:row r="917">
      <x:c r="A917" s="30"/>
    </x:row>
    <x:row r="918">
      <x:c r="A918" s="30"/>
    </x:row>
    <x:row r="919">
      <x:c r="A919" s="30"/>
    </x:row>
    <x:row r="920">
      <x:c r="A920" s="30"/>
    </x:row>
    <x:row r="921">
      <x:c r="A921" s="30"/>
    </x:row>
    <x:row r="922">
      <x:c r="A922" s="30"/>
    </x:row>
    <x:row r="923">
      <x:c r="A923" s="30"/>
    </x:row>
    <x:row r="924">
      <x:c r="A924" s="30"/>
    </x:row>
    <x:row r="925">
      <x:c r="A925" s="30"/>
    </x:row>
    <x:row r="926">
      <x:c r="A926" s="30"/>
    </x:row>
    <x:row r="927">
      <x:c r="A927" s="30"/>
    </x:row>
    <x:row r="928">
      <x:c r="A928" s="30"/>
    </x:row>
    <x:row r="929">
      <x:c r="A929" s="30"/>
    </x:row>
    <x:row r="930">
      <x:c r="A930" s="30"/>
    </x:row>
    <x:row r="931">
      <x:c r="A931" s="30"/>
    </x:row>
    <x:row r="932">
      <x:c r="A932" s="30"/>
    </x:row>
    <x:row r="933">
      <x:c r="A933" s="30"/>
    </x:row>
    <x:row r="934">
      <x:c r="A934" s="30"/>
    </x:row>
    <x:row r="935">
      <x:c r="A935" s="30"/>
    </x:row>
    <x:row r="936">
      <x:c r="A936" s="30"/>
    </x:row>
    <x:row r="937">
      <x:c r="A937" s="30"/>
    </x:row>
    <x:row r="938">
      <x:c r="A938" s="30"/>
    </x:row>
    <x:row r="939">
      <x:c r="A939" s="30"/>
    </x:row>
    <x:row r="940">
      <x:c r="A940" s="30"/>
    </x:row>
    <x:row r="941">
      <x:c r="A941" s="30"/>
    </x:row>
    <x:row r="942">
      <x:c r="A942" s="30"/>
    </x:row>
    <x:row r="943">
      <x:c r="A943" s="30"/>
    </x:row>
    <x:row r="944">
      <x:c r="A944" s="30"/>
    </x:row>
    <x:row r="945">
      <x:c r="A945" s="30"/>
    </x:row>
    <x:row r="946">
      <x:c r="A946" s="30"/>
    </x:row>
    <x:row r="947">
      <x:c r="A947" s="30"/>
    </x:row>
    <x:row r="948">
      <x:c r="A948" s="30"/>
    </x:row>
    <x:row r="949">
      <x:c r="A949" s="30"/>
    </x:row>
    <x:row r="950">
      <x:c r="A950" s="30"/>
    </x:row>
    <x:row r="951">
      <x:c r="A951" s="30"/>
    </x:row>
    <x:row r="952">
      <x:c r="A952" s="30"/>
    </x:row>
    <x:row r="953">
      <x:c r="A953" s="30"/>
    </x:row>
    <x:row r="954">
      <x:c r="A954" s="30"/>
    </x:row>
    <x:row r="955">
      <x:c r="A955" s="30"/>
    </x:row>
    <x:row r="956">
      <x:c r="A956" s="30"/>
    </x:row>
    <x:row r="957">
      <x:c r="A957" s="30"/>
    </x:row>
    <x:row r="958">
      <x:c r="A958" s="30"/>
    </x:row>
    <x:row r="959">
      <x:c r="A959" s="30"/>
    </x:row>
    <x:row r="960">
      <x:c r="A960" s="30"/>
    </x:row>
    <x:row r="961">
      <x:c r="A961" s="30"/>
    </x:row>
    <x:row r="962">
      <x:c r="A962" s="30"/>
    </x:row>
    <x:row r="963">
      <x:c r="A963" s="30"/>
    </x:row>
    <x:row r="964">
      <x:c r="A964" s="30"/>
    </x:row>
    <x:row r="965">
      <x:c r="A965" s="30"/>
    </x:row>
    <x:row r="966">
      <x:c r="A966" s="30"/>
    </x:row>
    <x:row r="967">
      <x:c r="A967" s="30"/>
    </x:row>
    <x:row r="968">
      <x:c r="A968" s="30"/>
    </x:row>
    <x:row r="969">
      <x:c r="A969" s="30"/>
    </x:row>
    <x:row r="970">
      <x:c r="A970" s="30"/>
    </x:row>
    <x:row r="971">
      <x:c r="A971" s="30"/>
    </x:row>
    <x:row r="972">
      <x:c r="A972" s="30"/>
    </x:row>
    <x:row r="973">
      <x:c r="A973" s="30"/>
    </x:row>
    <x:row r="974">
      <x:c r="A974" s="30"/>
    </x:row>
    <x:row r="975">
      <x:c r="A975" s="30"/>
    </x:row>
    <x:row r="976">
      <x:c r="A976" s="30"/>
    </x:row>
    <x:row r="977">
      <x:c r="A977" s="30"/>
    </x:row>
    <x:row r="978">
      <x:c r="A978" s="30"/>
    </x:row>
    <x:row r="979">
      <x:c r="A979" s="30"/>
    </x:row>
    <x:row r="980">
      <x:c r="A980" s="30"/>
    </x:row>
    <x:row r="981">
      <x:c r="A981" s="30"/>
    </x:row>
    <x:row r="982">
      <x:c r="A982" s="30"/>
    </x:row>
    <x:row r="983">
      <x:c r="A983" s="30"/>
    </x:row>
    <x:row r="984">
      <x:c r="A984" s="30"/>
    </x:row>
    <x:row r="985">
      <x:c r="A985" s="30"/>
    </x:row>
    <x:row r="986">
      <x:c r="A986" s="30"/>
    </x:row>
    <x:row r="987">
      <x:c r="A987" s="30"/>
    </x:row>
    <x:row r="988">
      <x:c r="A988" s="30"/>
    </x:row>
    <x:row r="989">
      <x:c r="A989" s="30"/>
    </x:row>
    <x:row r="990">
      <x:c r="A990" s="30"/>
    </x:row>
    <x:row r="991">
      <x:c r="A991" s="30"/>
    </x:row>
    <x:row r="992">
      <x:c r="A992" s="30"/>
    </x:row>
    <x:row r="993">
      <x:c r="A993" s="30"/>
    </x:row>
    <x:row r="994">
      <x:c r="A994" s="30"/>
    </x:row>
    <x:row r="995">
      <x:c r="A995" s="30"/>
    </x:row>
    <x:row r="996">
      <x:c r="A996" s="30"/>
    </x:row>
    <x:row r="997">
      <x:c r="A997" s="30"/>
    </x:row>
    <x:row r="998">
      <x:c r="A998" s="30"/>
    </x:row>
    <x:row r="999">
      <x:c r="A999" s="30"/>
    </x:row>
    <x:row r="1000">
      <x:c r="A1000" s="30"/>
    </x:row>
  </x:sheetData>
  <x:dataValidations count="1">
    <x:dataValidation type="list" sqref="Q2:Q1000">
      <x:formula1>"Low,Normal,High,Urgent"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fb151c05394c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3" hidden="0" customWidth="1"/>
    <x:col min="5" max="5" width="16" hidden="0" customWidth="1"/>
    <x:col min="6" max="6" width="12" hidden="0" customWidth="1"/>
    <x:col min="7" max="7" width="3" hidden="0" customWidth="1"/>
    <x:col min="8" max="8" width="16" hidden="0" customWidth="1"/>
    <x:col min="9" max="9" width="12" hidden="0" customWidth="1"/>
    <x:col min="10" max="10" width="3" hidden="0" customWidth="1"/>
    <x:col min="11" max="11" width="38" hidden="0" customWidth="1"/>
    <x:col min="12" max="12" width="12" hidden="0" customWidth="1"/>
    <x:col min="13" max="13" width="10" hidden="0" customWidth="1"/>
    <x:col min="14" max="14" width="14" hidden="0" customWidth="1"/>
  </x:cols>
  <x:sheetData>
    <x:row r="1">
      <x:c r="A1" s="5" t="str">
        <x:v>Meta Dashboard Executive Report - Jul 8,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41" t="str">
        <x:v>Brands: NOBL / FLO / Unattributed | Timezone: US Eastern (America/New_York) | Paste dashboard exports into input tabs to refresh report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>
      <x:c r="A4" s="53" t="str">
        <x:v>Total Comments</x:v>
      </x:c>
      <x:c r="B4" s="47"/>
      <x:c r="D4" s="53" t="str">
        <x:v>Positive</x:v>
      </x:c>
      <x:c r="E4" s="47"/>
      <x:c r="G4" s="53" t="str">
        <x:v>Questions</x:v>
      </x:c>
      <x:c r="H4" s="47"/>
      <x:c r="J4" s="53" t="str">
        <x:v>Neutral</x:v>
      </x:c>
      <x:c r="K4" s="47"/>
    </x:row>
    <x:row r="5">
      <x:c r="A5" s="56" t="n">
        <x:v>815</x:v>
      </x:c>
      <x:c r="B5" s="47"/>
      <x:c r="D5" s="56" t="n">
        <x:v>255</x:v>
      </x:c>
      <x:c r="E5" s="47"/>
      <x:c r="G5" s="56" t="n">
        <x:v>82</x:v>
      </x:c>
      <x:c r="H5" s="47"/>
      <x:c r="J5" s="56" t="n">
        <x:v>423</x:v>
      </x:c>
      <x:c r="K5" s="47"/>
    </x:row>
    <x:row r="6">
      <x:c r="A6" s="58" t="str">
        <x:v>Daily total</x:v>
      </x:c>
      <x:c r="B6" s="47"/>
      <x:c r="D6" s="58" t="str">
        <x:v>Positive comments</x:v>
      </x:c>
      <x:c r="E6" s="47"/>
      <x:c r="G6" s="58" t="str">
        <x:v>Need answers</x:v>
      </x:c>
      <x:c r="H6" s="47"/>
      <x:c r="J6" s="58" t="str">
        <x:v>Neutral</x:v>
      </x:c>
      <x:c r="K6" s="47"/>
    </x:row>
    <x:row r="8">
      <x:c r="A8" s="53" t="str">
        <x:v>Negative</x:v>
      </x:c>
      <x:c r="B8" s="47"/>
      <x:c r="D8" s="53" t="str">
        <x:v>Complaints</x:v>
      </x:c>
      <x:c r="E8" s="47"/>
      <x:c r="G8" s="53" t="str">
        <x:v>NOBL Comments</x:v>
      </x:c>
      <x:c r="H8" s="47"/>
      <x:c r="J8" s="53" t="str">
        <x:v>FLO Comments</x:v>
      </x:c>
      <x:c r="K8" s="47"/>
    </x:row>
    <x:row r="9">
      <x:c r="A9" s="56" t="n">
        <x:v>43</x:v>
      </x:c>
      <x:c r="B9" s="47"/>
      <x:c r="D9" s="56" t="n">
        <x:v>12</x:v>
      </x:c>
      <x:c r="E9" s="47"/>
      <x:c r="G9" s="56" t="n">
        <x:v>274</x:v>
      </x:c>
      <x:c r="H9" s="47"/>
      <x:c r="J9" s="56" t="n">
        <x:v>9</x:v>
      </x:c>
      <x:c r="K9" s="47"/>
    </x:row>
    <x:row r="10">
      <x:c r="A10" s="58" t="str">
        <x:v>Negative risk</x:v>
      </x:c>
      <x:c r="B10" s="47"/>
      <x:c r="D10" s="58" t="str">
        <x:v>Urgent risk</x:v>
      </x:c>
      <x:c r="E10" s="47"/>
      <x:c r="G10" s="58" t="str">
        <x:v>Brand page + WL</x:v>
      </x:c>
      <x:c r="H10" s="47"/>
      <x:c r="J10" s="58" t="str">
        <x:v>Brand page + WL</x:v>
      </x:c>
      <x:c r="K10" s="47"/>
    </x:row>
    <x:row r="12">
      <x:c r="A12" s="53" t="str">
        <x:v>Unattributed</x:v>
      </x:c>
      <x:c r="B12" s="47"/>
      <x:c r="D12" s="53" t="str">
        <x:v>Facebook</x:v>
      </x:c>
      <x:c r="E12" s="47"/>
      <x:c r="G12" s="53" t="str">
        <x:v>Instagram</x:v>
      </x:c>
      <x:c r="H12" s="47"/>
      <x:c r="J12" s="53" t="str">
        <x:v>Negative Rate</x:v>
      </x:c>
      <x:c r="K12" s="47"/>
    </x:row>
    <x:row r="13">
      <x:c r="A13" s="56" t="n">
        <x:v>532</x:v>
      </x:c>
      <x:c r="B13" s="47"/>
      <x:c r="D13" s="56" t="n">
        <x:v>213</x:v>
      </x:c>
      <x:c r="E13" s="47"/>
      <x:c r="G13" s="56" t="n">
        <x:v>602</x:v>
      </x:c>
      <x:c r="H13" s="47"/>
      <x:c r="J13" s="56" t="str">
        <x:v>6.7%</x:v>
      </x:c>
      <x:c r="K13" s="47"/>
    </x:row>
    <x:row r="14">
      <x:c r="A14" s="58" t="str">
        <x:v>Creator / WL</x:v>
      </x:c>
      <x:c r="B14" s="47"/>
      <x:c r="D14" s="58" t="str">
        <x:v>Platform</x:v>
      </x:c>
      <x:c r="E14" s="47"/>
      <x:c r="G14" s="58" t="str">
        <x:v>Platform</x:v>
      </x:c>
      <x:c r="H14" s="47"/>
      <x:c r="J14" s="58" t="str">
        <x:v>Neg + complaint</x:v>
      </x:c>
      <x:c r="K14" s="47"/>
    </x:row>
    <x:row r="18">
      <x:c r="A18" s="64" t="str">
        <x:v>Brand</x:v>
      </x:c>
      <x:c r="B18" s="64" t="str">
        <x:v>Comments</x:v>
      </x:c>
      <x:c r="C18" s="64" t="str">
        <x:v>Negative + Complaint</x:v>
      </x:c>
      <x:c r="E18" s="74" t="str">
        <x:v>Sentiment</x:v>
      </x:c>
      <x:c r="F18" s="74" t="str">
        <x:v>Count</x:v>
      </x:c>
      <x:c r="H18" s="22" t="str">
        <x:v>Platform</x:v>
      </x:c>
      <x:c r="I18" s="22" t="str">
        <x:v>Comments</x:v>
      </x:c>
      <x:c r="K18" s="84" t="str">
        <x:v>Top Ad</x:v>
      </x:c>
      <x:c r="L18" s="84" t="str">
        <x:v>Brand</x:v>
      </x:c>
      <x:c r="M18" s="84" t="str">
        <x:v>Total</x:v>
      </x:c>
      <x:c r="N18" s="84" t="str">
        <x:v>Neg+Complaint</x:v>
      </x:c>
    </x:row>
    <x:row r="19">
      <x:c r="A19" t="str">
        <x:v>Nobl</x:v>
      </x:c>
      <x:c r="B19" t="n">
        <x:v>274</x:v>
      </x:c>
      <x:c r="C19" t="n">
        <x:v>47</x:v>
      </x:c>
      <x:c r="E19" t="str">
        <x:v>Positive</x:v>
      </x:c>
      <x:c r="F19" t="n">
        <x:v>255</x:v>
      </x:c>
      <x:c r="H19" t="str">
        <x:v>Facebook</x:v>
      </x:c>
      <x:c r="I19" t="n">
        <x:v>213</x:v>
      </x:c>
      <x:c r="K19" t="str">
        <x:v>Organic · @angelenees.ugc</x:v>
      </x:c>
      <x:c r="L19" t="str">
        <x:v>Unattributed</x:v>
      </x:c>
      <x:c r="M19" t="n">
        <x:v>121</x:v>
      </x:c>
      <x:c r="N19" t="n">
        <x:v>0</x:v>
      </x:c>
    </x:row>
    <x:row r="20">
      <x:c r="A20" t="str">
        <x:v>Flo</x:v>
      </x:c>
      <x:c r="B20" t="n">
        <x:v>9</x:v>
      </x:c>
      <x:c r="C20" t="n">
        <x:v>1</x:v>
      </x:c>
      <x:c r="E20" t="str">
        <x:v>Question</x:v>
      </x:c>
      <x:c r="F20" t="n">
        <x:v>82</x:v>
      </x:c>
      <x:c r="H20" t="str">
        <x:v>Instagram</x:v>
      </x:c>
      <x:c r="I20" t="n">
        <x:v>602</x:v>
      </x:c>
      <x:c r="K20" t="str">
        <x:v>Organic · @angelenees.ugc</x:v>
      </x:c>
      <x:c r="L20" t="str">
        <x:v>Unattributed</x:v>
      </x:c>
      <x:c r="M20" t="n">
        <x:v>68</x:v>
      </x:c>
      <x:c r="N20" t="n">
        <x:v>0</x:v>
      </x:c>
    </x:row>
    <x:row r="21">
      <x:c r="A21" t="str">
        <x:v>Unattributed</x:v>
      </x:c>
      <x:c r="B21" t="n">
        <x:v>532</x:v>
      </x:c>
      <x:c r="C21" t="n">
        <x:v>7</x:v>
      </x:c>
      <x:c r="E21" t="str">
        <x:v>Neutral</x:v>
      </x:c>
      <x:c r="F21" t="n">
        <x:v>423</x:v>
      </x:c>
      <x:c r="K21" t="str">
        <x:v>Organic · @angelenees.ugc</x:v>
      </x:c>
      <x:c r="L21" t="str">
        <x:v>Unattributed</x:v>
      </x:c>
      <x:c r="M21" t="n">
        <x:v>55</x:v>
      </x:c>
      <x:c r="N21" t="n">
        <x:v>1</x:v>
      </x:c>
    </x:row>
    <x:row r="22">
      <x:c r="E22" t="str">
        <x:v>Negative</x:v>
      </x:c>
      <x:c r="F22" t="n">
        <x:v>43</x:v>
      </x:c>
      <x:c r="K22" t="str">
        <x:v>060826_J-0419v1_MyExHusbandsGirlfriend_TOF_Vi</x:v>
      </x:c>
      <x:c r="L22" t="str">
        <x:v>Nobl</x:v>
      </x:c>
      <x:c r="M22" t="n">
        <x:v>46</x:v>
      </x:c>
      <x:c r="N22" t="n">
        <x:v>6</x:v>
      </x:c>
    </x:row>
    <x:row r="23">
      <x:c r="E23" t="str">
        <x:v>Complaint</x:v>
      </x:c>
      <x:c r="F23" t="n">
        <x:v>12</x:v>
      </x:c>
      <x:c r="K23" t="str">
        <x:v>Organic · @angelenees.ugc</x:v>
      </x:c>
      <x:c r="L23" t="str">
        <x:v>Unattributed</x:v>
      </x:c>
      <x:c r="M23" t="n">
        <x:v>35</x:v>
      </x:c>
      <x:c r="N23" t="n">
        <x:v>0</x:v>
      </x:c>
    </x:row>
    <x:row r="24">
      <x:c r="K24" t="str">
        <x:v>Organic · @mauro.littera</x:v>
      </x:c>
      <x:c r="L24" t="str">
        <x:v>Unattributed</x:v>
      </x:c>
      <x:c r="M24" t="n">
        <x:v>33</x:v>
      </x:c>
      <x:c r="N24" t="n">
        <x:v>0</x:v>
      </x:c>
    </x:row>
    <x:row r="25">
      <x:c r="K25" t="str">
        <x:v>Organic · @angelenees.ugc</x:v>
      </x:c>
      <x:c r="L25" t="str">
        <x:v>Unattributed</x:v>
      </x:c>
      <x:c r="M25" t="n">
        <x:v>30</x:v>
      </x:c>
      <x:c r="N25" t="n">
        <x:v>0</x:v>
      </x:c>
    </x:row>
    <x:row r="26">
      <x:c r="K26" t="str">
        <x:v>Organic · @chaltner</x:v>
      </x:c>
      <x:c r="L26" t="str">
        <x:v>Unattributed</x:v>
      </x:c>
      <x:c r="M26" t="n">
        <x:v>30</x:v>
      </x:c>
      <x:c r="N26" t="n">
        <x:v>0</x:v>
      </x:c>
    </x:row>
    <x:row r="27">
      <x:c r="K27" t="str">
        <x:v>Organic · @sarahlauren_71</x:v>
      </x:c>
      <x:c r="L27" t="str">
        <x:v>Unattributed</x:v>
      </x:c>
      <x:c r="M27" t="n">
        <x:v>22</x:v>
      </x:c>
      <x:c r="N27" t="n">
        <x:v>4</x:v>
      </x:c>
    </x:row>
    <x:row r="28">
      <x:c r="K28" t="str">
        <x:v>Organic · @ugcbytengy</x:v>
      </x:c>
      <x:c r="L28" t="str">
        <x:v>Unattributed</x:v>
      </x:c>
      <x:c r="M28" t="n">
        <x:v>20</x:v>
      </x:c>
      <x:c r="N28" t="n">
        <x:v>0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8d0fc22959ec4644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</x:cols>
  <x:sheetData>
    <x:row r="1">
      <x:c r="A1" s="92" t="str">
        <x:v>Brand Report - NOBL / FLO / Unattributed</x:v>
      </x:c>
      <x:c r="B1" s="92"/>
      <x:c r="C1" s="92"/>
      <x:c r="D1" s="92"/>
      <x:c r="E1" s="92"/>
      <x:c r="F1" s="92"/>
      <x:c r="G1" s="92"/>
      <x:c r="H1" s="96"/>
      <x:c r="I1" s="96"/>
      <x:c r="J1" s="92"/>
      <x:c r="K1" s="92"/>
      <x:c r="L1" s="92"/>
    </x:row>
    <x:row r="3">
      <x:c r="A3" s="64" t="str">
        <x:v>Brand</x:v>
      </x:c>
      <x:c r="B3" s="64" t="str">
        <x:v>Total</x:v>
      </x:c>
      <x:c r="C3" s="64" t="str">
        <x:v>Positive</x:v>
      </x:c>
      <x:c r="D3" s="64" t="str">
        <x:v>Question</x:v>
      </x:c>
      <x:c r="E3" s="64" t="str">
        <x:v>Neutral</x:v>
      </x:c>
      <x:c r="F3" s="64" t="str">
        <x:v>Negative</x:v>
      </x:c>
      <x:c r="G3" s="64" t="str">
        <x:v>Complaint</x:v>
      </x:c>
      <x:c r="H3" s="64" t="str">
        <x:v>Positive %</x:v>
      </x:c>
      <x:c r="I3" s="64" t="str">
        <x:v>Risk %</x:v>
      </x:c>
      <x:c r="J3" s="64" t="str">
        <x:v>Action Focus</x:v>
      </x:c>
    </x:row>
    <x:row r="4">
      <x:c r="A4" t="str">
        <x:v>Nobl</x:v>
      </x:c>
      <x:c r="B4" t="n">
        <x:v>274</x:v>
      </x:c>
      <x:c r="C4" t="n">
        <x:v>80</x:v>
      </x:c>
      <x:c r="D4" t="n">
        <x:v>71</x:v>
      </x:c>
      <x:c r="E4" t="n">
        <x:v>76</x:v>
      </x:c>
      <x:c r="F4" t="n">
        <x:v>36</x:v>
      </x:c>
      <x:c r="G4" t="n">
        <x:v>11</x:v>
      </x:c>
      <x:c r="H4" t="n">
        <x:f>C4/B4</x:f>
        <x:v>0.291970802919708</x:v>
      </x:c>
      <x:c r="I4" t="n">
        <x:f>(F4+G4)/B4</x:f>
        <x:v>0.17153284671532848</x:v>
      </x:c>
      <x:c r="J4" t="str">
        <x:v>Review negative / complaint ads</x:v>
      </x:c>
    </x:row>
    <x:row r="5">
      <x:c r="A5" t="str">
        <x:v>Flo</x:v>
      </x:c>
      <x:c r="B5" t="n">
        <x:v>9</x:v>
      </x:c>
      <x:c r="C5" t="n">
        <x:v>2</x:v>
      </x:c>
      <x:c r="D5" t="n">
        <x:v>3</x:v>
      </x:c>
      <x:c r="E5" t="n">
        <x:v>3</x:v>
      </x:c>
      <x:c r="F5" t="n">
        <x:v>0</x:v>
      </x:c>
      <x:c r="G5" t="n">
        <x:v>1</x:v>
      </x:c>
      <x:c r="H5" t="n">
        <x:f>C5/B5</x:f>
        <x:v>0.2222222222222222</x:v>
      </x:c>
      <x:c r="I5" t="n">
        <x:f>(F5+G5)/B5</x:f>
        <x:v>0.1111111111111111</x:v>
      </x:c>
      <x:c r="J5" t="str">
        <x:v>Review negative / complaint ads</x:v>
      </x:c>
    </x:row>
    <x:row r="6">
      <x:c r="A6" t="str">
        <x:v>Unattributed</x:v>
      </x:c>
      <x:c r="B6" t="n">
        <x:v>532</x:v>
      </x:c>
      <x:c r="C6" t="n">
        <x:v>173</x:v>
      </x:c>
      <x:c r="D6" t="n">
        <x:v>8</x:v>
      </x:c>
      <x:c r="E6" t="n">
        <x:v>344</x:v>
      </x:c>
      <x:c r="F6" t="n">
        <x:v>7</x:v>
      </x:c>
      <x:c r="G6" t="n">
        <x:v>0</x:v>
      </x:c>
      <x:c r="H6" t="n">
        <x:f>C6/B6</x:f>
        <x:v>0.325187969924812</x:v>
      </x:c>
      <x:c r="I6" t="n">
        <x:f>(F6+G6)/B6</x:f>
        <x:v>0.013157894736842105</x:v>
      </x:c>
      <x:c r="J6" t="str">
        <x:v>Review negative / complaint ads</x:v>
      </x:c>
    </x:row>
    <x:row r="8">
      <x:c r="A8" s="22" t="str">
        <x:v>Source</x:v>
      </x:c>
      <x:c r="B8" s="22" t="str">
        <x:v>Total</x:v>
      </x:c>
      <x:c r="C8" s="22" t="str">
        <x:v>Positive</x:v>
      </x:c>
      <x:c r="D8" s="22" t="str">
        <x:v>Question</x:v>
      </x:c>
      <x:c r="E8" s="22" t="str">
        <x:v>Neutral</x:v>
      </x:c>
      <x:c r="F8" s="22" t="str">
        <x:v>Negative</x:v>
      </x:c>
      <x:c r="G8" s="22" t="str">
        <x:v>Complaint</x:v>
      </x:c>
      <x:c r="H8" s="22" t="str">
        <x:v>Positive %</x:v>
      </x:c>
      <x:c r="I8" s="22" t="str">
        <x:v>Risk %</x:v>
      </x:c>
      <x:c r="J8" s="22" t="str">
        <x:v>Notes</x:v>
      </x:c>
    </x:row>
    <x:row r="9">
      <x:c r="A9" t="str">
        <x:v>Brand page</x:v>
      </x:c>
      <x:c r="B9" t="n">
        <x:v>263</x:v>
      </x:c>
      <x:c r="C9" t="n">
        <x:v>78</x:v>
      </x:c>
      <x:c r="D9" t="n">
        <x:v>67</x:v>
      </x:c>
      <x:c r="E9" t="n">
        <x:v>74</x:v>
      </x:c>
      <x:c r="F9" t="n">
        <x:v>33</x:v>
      </x:c>
      <x:c r="G9" t="n">
        <x:v>11</x:v>
      </x:c>
      <x:c r="H9" t="n">
        <x:f>C9/B9</x:f>
        <x:v>0.2965779467680608</x:v>
      </x:c>
      <x:c r="I9" t="n">
        <x:f>(F9+G9)/B9</x:f>
        <x:v>0.16730038022813687</x:v>
      </x:c>
      <x:c r="J9" t="str"/>
    </x:row>
    <x:row r="10">
      <x:c r="A10" t="str">
        <x:v>Creator / Whitelist</x:v>
      </x:c>
      <x:c r="B10" t="n">
        <x:v>547</x:v>
      </x:c>
      <x:c r="C10" t="n">
        <x:v>174</x:v>
      </x:c>
      <x:c r="D10" t="n">
        <x:v>14</x:v>
      </x:c>
      <x:c r="E10" t="n">
        <x:v>349</x:v>
      </x:c>
      <x:c r="F10" t="n">
        <x:v>9</x:v>
      </x:c>
      <x:c r="G10" t="n">
        <x:v>1</x:v>
      </x:c>
      <x:c r="H10" t="n">
        <x:f>C10/B10</x:f>
        <x:v>0.3180987202925046</x:v>
      </x:c>
      <x:c r="I10" t="n">
        <x:f>(F10+G10)/B10</x:f>
        <x:v>0.018281535648994516</x:v>
      </x:c>
      <x:c r="J10" t="str"/>
    </x:row>
    <x:row r="11">
      <x:c r="A11" t="str">
        <x:v>Organic</x:v>
      </x:c>
      <x:c r="B11" t="n">
        <x:v>5</x:v>
      </x:c>
      <x:c r="C11" t="n">
        <x:v>3</x:v>
      </x:c>
      <x:c r="D11" t="n">
        <x:v>1</x:v>
      </x:c>
      <x:c r="E11" t="n">
        <x:v>0</x:v>
      </x:c>
      <x:c r="F11" t="n">
        <x:v>1</x:v>
      </x:c>
      <x:c r="G11" t="n">
        <x:v>0</x:v>
      </x:c>
      <x:c r="H11" t="n">
        <x:f>C11/B11</x:f>
        <x:v>0.6</x:v>
      </x:c>
      <x:c r="I11" t="n">
        <x:f>(F11+G11)/B11</x:f>
        <x:v>0.2</x:v>
      </x:c>
      <x:c r="J11" t="str"/>
    </x:row>
    <x:row r="14">
      <x:c r="A14" s="74" t="str">
        <x:v>Platform</x:v>
      </x:c>
      <x:c r="B14" s="74" t="str">
        <x:v>Total</x:v>
      </x:c>
      <x:c r="C14" s="74" t="str">
        <x:v>Positive</x:v>
      </x:c>
      <x:c r="D14" s="74" t="str">
        <x:v>Question</x:v>
      </x:c>
      <x:c r="E14" s="74" t="str">
        <x:v>Neutral</x:v>
      </x:c>
      <x:c r="F14" s="74" t="str">
        <x:v>Negative</x:v>
      </x:c>
      <x:c r="G14" s="74" t="str">
        <x:v>Complaint</x:v>
      </x:c>
      <x:c r="H14" s="74" t="str">
        <x:v>Positive %</x:v>
      </x:c>
      <x:c r="I14" s="74" t="str">
        <x:v>Risk %</x:v>
      </x:c>
      <x:c r="J14" s="74" t="str">
        <x:v>Notes</x:v>
      </x:c>
    </x:row>
    <x:row r="15">
      <x:c r="A15" t="str">
        <x:v>Facebook</x:v>
      </x:c>
      <x:c r="B15" t="n">
        <x:v>213</x:v>
      </x:c>
      <x:c r="C15" t="n">
        <x:v>53</x:v>
      </x:c>
      <x:c r="D15" t="n">
        <x:v>60</x:v>
      </x:c>
      <x:c r="E15" t="n">
        <x:v>65</x:v>
      </x:c>
      <x:c r="F15" t="n">
        <x:v>28</x:v>
      </x:c>
      <x:c r="G15" t="n">
        <x:v>7</x:v>
      </x:c>
      <x:c r="H15" t="n">
        <x:f>C15/B15</x:f>
        <x:v>0.24882629107981222</x:v>
      </x:c>
      <x:c r="I15" t="n">
        <x:f>(F15+G15)/B15</x:f>
        <x:v>0.1643192488262911</x:v>
      </x:c>
      <x:c r="J15" t="str"/>
    </x:row>
    <x:row r="16">
      <x:c r="A16" t="str">
        <x:v>Instagram</x:v>
      </x:c>
      <x:c r="B16" t="n">
        <x:v>602</x:v>
      </x:c>
      <x:c r="C16" t="n">
        <x:v>202</x:v>
      </x:c>
      <x:c r="D16" t="n">
        <x:v>22</x:v>
      </x:c>
      <x:c r="E16" t="n">
        <x:v>358</x:v>
      </x:c>
      <x:c r="F16" t="n">
        <x:v>15</x:v>
      </x:c>
      <x:c r="G16" t="n">
        <x:v>5</x:v>
      </x:c>
      <x:c r="H16" t="n">
        <x:f>C16/B16</x:f>
        <x:v>0.33554817275747506</x:v>
      </x:c>
      <x:c r="I16" t="n">
        <x:f>(F16+G16)/B16</x:f>
        <x:v>0.03322259136212625</x:v>
      </x:c>
      <x:c r="J16" t="str"/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f84985e1e8814c2b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28" hidden="0" customWidth="1"/>
    <x:col min="5" max="5" width="38" hidden="0" customWidth="1"/>
    <x:col min="6" max="6" width="18" hidden="0" customWidth="1"/>
    <x:col min="7" max="7" width="3" hidden="0" customWidth="1"/>
    <x:col min="8" max="8" width="48" hidden="0" customWidth="1"/>
    <x:col min="9" max="9" width="12" hidden="0" customWidth="1"/>
    <x:col min="10" max="10" width="24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>
      <x:c r="A1" s="100" t="str">
        <x:v>Sentiment Intelligence Report</x:v>
      </x:c>
      <x:c r="B1" s="100"/>
      <x:c r="C1" s="100"/>
      <x:c r="D1" s="116"/>
      <x:c r="E1" s="116"/>
      <x:c r="F1" s="100"/>
      <x:c r="G1" s="100"/>
      <x:c r="H1" s="116"/>
      <x:c r="I1" s="100"/>
      <x:c r="J1" s="100"/>
      <x:c r="K1" s="100"/>
      <x:c r="L1" s="100"/>
      <x:c r="M1" s="100"/>
    </x:row>
    <x:row r="3">
      <x:c r="A3" s="84" t="str">
        <x:v>Sentiment</x:v>
      </x:c>
      <x:c r="B3" s="84" t="str">
        <x:v>Count</x:v>
      </x:c>
      <x:c r="C3" s="84" t="str">
        <x:v>Share</x:v>
      </x:c>
      <x:c r="D3" s="84" t="str">
        <x:v>Meaning</x:v>
      </x:c>
      <x:c r="E3" s="84" t="str">
        <x:v>Recommended Action</x:v>
      </x:c>
      <x:c r="F3" s="84" t="str">
        <x:v>Owner</x:v>
      </x:c>
      <x:c r="H3" s="110" t="str">
        <x:v>Risk Ads - Ad Name</x:v>
      </x:c>
      <x:c r="I3" s="110" t="str">
        <x:v>Brand</x:v>
      </x:c>
      <x:c r="J3" s="110" t="str">
        <x:v>Campaign</x:v>
      </x:c>
      <x:c r="K3" s="110" t="str">
        <x:v>Total</x:v>
      </x:c>
      <x:c r="L3" s="110" t="str">
        <x:v>Negative</x:v>
      </x:c>
      <x:c r="M3" s="110" t="str">
        <x:v>Complaint</x:v>
      </x:c>
    </x:row>
    <x:row r="4">
      <x:c r="A4" t="str">
        <x:v>Positive</x:v>
      </x:c>
      <x:c r="B4" t="n">
        <x:v>255</x:v>
      </x:c>
      <x:c r="C4" s="104" t="n">
        <x:f>B4/$B$9</x:f>
        <x:v>0.3128834355828221</x:v>
      </x:c>
      <x:c r="D4" t="str">
        <x:v>Good customer signal</x:v>
      </x:c>
      <x:c r="E4" t="str">
        <x:v>Use insights for ad proof / testimonials</x:v>
      </x:c>
      <x:c r="F4" t="str">
        <x:v>Moderation Team</x:v>
      </x:c>
      <x:c r="H4" t="str">
        <x:v>060826_J-0419v1_MyExHusbandsGirlfriend_TOF_Vid_000AIO_Evergreen_LP001_001NYS_002FA_003UGC_005J2_007MNT_008MNT_009B_010B_011M8S37_013F4B_014USA_015AAT</x:v>
      </x:c>
      <x:c r="I4" t="str">
        <x:v>Nobl</x:v>
      </x:c>
      <x:c r="J4" t="str">
        <x:v>usa - tof - all</x:v>
      </x:c>
      <x:c r="K4" t="n">
        <x:v>46</x:v>
      </x:c>
      <x:c r="L4" t="n">
        <x:v>6</x:v>
      </x:c>
      <x:c r="M4" t="n">
        <x:v>0</x:v>
      </x:c>
    </x:row>
    <x:row r="5">
      <x:c r="A5" t="str">
        <x:v>Question</x:v>
      </x:c>
      <x:c r="B5" t="n">
        <x:v>82</x:v>
      </x:c>
      <x:c r="C5" s="104" t="n">
        <x:f>B5/$B$9</x:f>
        <x:v>0.10061349693251534</x:v>
      </x:c>
      <x:c r="D5" t="str">
        <x:v>Needs accurate response</x:v>
      </x:c>
      <x:c r="E5" t="str">
        <x:v>Reply with approved FAQ or route to CS</x:v>
      </x:c>
      <x:c r="F5" t="str">
        <x:v>Moderation Team</x:v>
      </x:c>
      <x:c r="H5" t="str">
        <x:v>Organic · @sarahlauren_71</x:v>
      </x:c>
      <x:c r="I5" t="str">
        <x:v>Unattributed</x:v>
      </x:c>
      <x:c r="J5" t="str">
        <x:v>Organic</x:v>
      </x:c>
      <x:c r="K5" t="n">
        <x:v>22</x:v>
      </x:c>
      <x:c r="L5" t="n">
        <x:v>4</x:v>
      </x:c>
      <x:c r="M5" t="n">
        <x:v>0</x:v>
      </x:c>
    </x:row>
    <x:row r="6">
      <x:c r="A6" t="str">
        <x:v>Neutral</x:v>
      </x:c>
      <x:c r="B6" t="n">
        <x:v>423</x:v>
      </x:c>
      <x:c r="C6" s="104" t="n">
        <x:f>B6/$B$9</x:f>
        <x:v>0.5190184049079755</x:v>
      </x:c>
      <x:c r="D6" t="str">
        <x:v>Low action unless high volume</x:v>
      </x:c>
      <x:c r="E6" t="str">
        <x:v>Monitor for patterns</x:v>
      </x:c>
      <x:c r="F6" t="str">
        <x:v>Moderation Team</x:v>
      </x:c>
      <x:c r="H6" t="str">
        <x:v>060126_J0382v3_TSAOpeners_TOF_Vid_BJ0284v1_000AIO_Evergreen_LP001_001NYS_002LK_003NGC_005F5_007SIL_008BYL_009E_010A_011M0S51_013F2W_014USA_015AAA</x:v>
      </x:c>
      <x:c r="I6" t="str">
        <x:v>Nobl</x:v>
      </x:c>
      <x:c r="J6" t="str">
        <x:v>usa - tof - all</x:v>
      </x:c>
      <x:c r="K6" t="n">
        <x:v>10</x:v>
      </x:c>
      <x:c r="L6" t="n">
        <x:v>2</x:v>
      </x:c>
      <x:c r="M6" t="n">
        <x:v>1</x:v>
      </x:c>
    </x:row>
    <x:row r="7">
      <x:c r="A7" t="str">
        <x:v>Negative</x:v>
      </x:c>
      <x:c r="B7" t="n">
        <x:v>43</x:v>
      </x:c>
      <x:c r="C7" s="104" t="n">
        <x:f>B7/$B$9</x:f>
        <x:v>0.05276073619631902</x:v>
      </x:c>
      <x:c r="D7" t="str">
        <x:v>Brand risk / escalate if repeated</x:v>
      </x:c>
      <x:c r="E7" t="str">
        <x:v>Check ad/product issue and reply quickly</x:v>
      </x:c>
      <x:c r="F7" t="str">
        <x:v>Moderation Team</x:v>
      </x:c>
      <x:c r="H7" t="str">
        <x:v>040626_NotGatekeepingTOF1_V1_AIR_Evergreen - 001NYS - 002LK - 000AIR - 004MULTI - 005US - 006ValueDriven - 007DEMO - 00860s - 009MULTI - 010V3 - 011MULTI - 012ENG - 013AAU</x:v>
      </x:c>
      <x:c r="I7" t="str">
        <x:v>Nobl</x:v>
      </x:c>
      <x:c r="J7" t="str">
        <x:v>usa - tof/bof - air</x:v>
      </x:c>
      <x:c r="K7" t="n">
        <x:v>4</x:v>
      </x:c>
      <x:c r="L7" t="n">
        <x:v>3</x:v>
      </x:c>
      <x:c r="M7" t="n">
        <x:v>0</x:v>
      </x:c>
    </x:row>
    <x:row r="8">
      <x:c r="A8" t="str">
        <x:v>Complaint</x:v>
      </x:c>
      <x:c r="B8" t="n">
        <x:v>12</x:v>
      </x:c>
      <x:c r="C8" s="104" t="n">
        <x:f>B8/$B$9</x:f>
        <x:v>0.014723926380368098</x:v>
      </x:c>
      <x:c r="D8" t="str">
        <x:v>Urgent customer issue</x:v>
      </x:c>
      <x:c r="E8" t="str">
        <x:v>Escalate to CS / hide only if policy requires</x:v>
      </x:c>
      <x:c r="F8" t="str">
        <x:v>Moderation Team</x:v>
      </x:c>
      <x:c r="H8" t="str">
        <x:v>Organic · @angelenees.ugc</x:v>
      </x:c>
      <x:c r="I8" t="str">
        <x:v>Unattributed</x:v>
      </x:c>
      <x:c r="J8" t="str">
        <x:v>Organic</x:v>
      </x:c>
      <x:c r="K8" t="n">
        <x:v>55</x:v>
      </x:c>
      <x:c r="L8" t="n">
        <x:v>1</x:v>
      </x:c>
      <x:c r="M8" t="n">
        <x:v>0</x:v>
      </x:c>
    </x:row>
    <x:row r="9">
      <x:c r="A9" t="str">
        <x:v>Total</x:v>
      </x:c>
      <x:c r="B9" t="n">
        <x:v>815</x:v>
      </x:c>
      <x:c r="H9" t="str">
        <x:v>010526_CanWeTalkArcadsBlackFemaleTOF1_v1_AIO_Evergreen - 001NYS - 002TC - 000AIO - 003010526_CanWeTalkArcadsBlackFemaleTOF1_v1_AIO_Evergreen - 004SIL - 005US - 006Stressedtraveler - 007DEMO - 00860s - 009FAI - 010V1 - 011YAWO - 012ENG - 013AAH</x:v>
      </x:c>
      <x:c r="I9" t="str">
        <x:v>Nobl</x:v>
      </x:c>
      <x:c r="J9" t="str">
        <x:v>[n] usa - tof - all</x:v>
      </x:c>
      <x:c r="K9" t="n">
        <x:v>10</x:v>
      </x:c>
      <x:c r="L9" t="n">
        <x:v>1</x:v>
      </x:c>
      <x:c r="M9" t="n">
        <x:v>0</x:v>
      </x:c>
    </x:row>
    <x:row r="10">
      <x:c r="H10" t="str">
        <x:v>122225_CanWeTalkTOF1_v1_AIO_Evergreen - 001NYS - 002FA - 000AIO - 003122225_CanWeTalkTOF1_v1_AIO_Evergreen - 004MULTI - 005US - 006⁠FunctionalTraveler - 007COMP - 00860s - 009MULTI - 010V1 - 011MULTI - 012ENG</x:v>
      </x:c>
      <x:c r="I10" t="str">
        <x:v>Nobl</x:v>
      </x:c>
      <x:c r="J10" t="str">
        <x:v>uk - tof - all</x:v>
      </x:c>
      <x:c r="K10" t="n">
        <x:v>7</x:v>
      </x:c>
      <x:c r="L10" t="n">
        <x:v>0</x:v>
      </x:c>
      <x:c r="M10" t="n">
        <x:v>1</x:v>
      </x:c>
    </x:row>
    <x:row r="11">
      <x:c r="H11" t="str">
        <x:v>062226_J0490v4_JessDalesTestimonial_Vid_000AIO_Evergreen_LP001_001NYS_002LK_003UGC_005A5_006SP005_007IVY_008IVY_009A_010A_011M0S59_013F2W_014USA_015AAA</x:v>
      </x:c>
      <x:c r="I11" t="str">
        <x:v>Nobl</x:v>
      </x:c>
      <x:c r="J11" t="str">
        <x:v>uk - tof - all</x:v>
      </x:c>
      <x:c r="K11" t="n">
        <x:v>6</x:v>
      </x:c>
      <x:c r="L11" t="n">
        <x:v>1</x:v>
      </x:c>
      <x:c r="M11" t="n">
        <x:v>0</x:v>
      </x:c>
    </x:row>
    <x:row r="12">
      <x:c r="H12" t="str">
        <x:v>010526_CanWeTalkArcadsBlackFemaleTOF1_v1_AIO_Evergreen - 001NYS - 002TC - 000AIO - 003010526_CanWeTalkArcadsBlackFemaleTOF1_v1_AIO_Evergreen - 004SIL - 005US - 006Stressedtraveler - 007DEMO - 00860s - 009FAI - 010V1 - 011YAWO - 012ENG - 013AAH</x:v>
      </x:c>
      <x:c r="I12" t="str">
        <x:v>Nobl</x:v>
      </x:c>
      <x:c r="J12" t="str">
        <x:v>usa - tof - all</x:v>
      </x:c>
      <x:c r="K12" t="n">
        <x:v>4</x:v>
      </x:c>
      <x:c r="L12" t="n">
        <x:v>1</x:v>
      </x:c>
      <x:c r="M12" t="n">
        <x:v>0</x:v>
      </x:c>
    </x:row>
    <x:row r="13">
      <x:c r="H13" t="str">
        <x:v>041326_InfluencerR1KylaCentomoTOF1_v1_AIO_Evergreen_WL - 001NYS - 002TC - 000AIO - 004YLW - 005US - 006ReadyToBuy - 007DEMO - 00850s - 009FRE - 010V6 - 011YAWO - 012ENG - 013AAT</x:v>
      </x:c>
      <x:c r="I13" t="str">
        <x:v>Nobl</x:v>
      </x:c>
      <x:c r="J13" t="str">
        <x:v>test - video/static - wl</x:v>
      </x:c>
      <x:c r="K13" t="n">
        <x:v>4</x:v>
      </x:c>
      <x:c r="L13" t="n">
        <x:v>1</x:v>
      </x:c>
      <x:c r="M13" t="n">
        <x:v>0</x:v>
      </x:c>
    </x:row>
    <x:row r="14">
      <x:c r="H14" t="str">
        <x:v>000AIO - 001NYS - 002PEN - 003TSABluePen - 004WHT - 005SE - 006STT - 007VO - 008TOF - 009V1 - 01045s - 011FAI - 012YWO - 013USA - 014CL - 0150424</x:v>
      </x:c>
      <x:c r="I14" t="str">
        <x:v>Nobl</x:v>
      </x:c>
      <x:c r="J14" t="str">
        <x:v>[n] usa - tof - all</x:v>
      </x:c>
      <x:c r="K14" t="n">
        <x:v>4</x:v>
      </x:c>
      <x:c r="L14" t="n">
        <x:v>1</x:v>
      </x:c>
      <x:c r="M14" t="n">
        <x:v>0</x:v>
      </x:c>
    </x:row>
    <x:row r="15">
      <x:c r="H15" t="str">
        <x:v>102725_LastCarryOnTOF_v1_AIO_Evergreen - 001NYS - 002FA - 003102725_LastCarryOnTOF_v1_AIO_Evergreen - 004MULTI - 005US - 006SavvyTraveler - 007DEMO - 00840s - 009MAI - 010V3 - 011AMA - 012ENG</x:v>
      </x:c>
      <x:c r="I15" t="str">
        <x:v>Nobl</x:v>
      </x:c>
      <x:c r="J15" t="str">
        <x:v>uk - tof - all</x:v>
      </x:c>
      <x:c r="K15" t="n">
        <x:v>4</x:v>
      </x:c>
      <x:c r="L15" t="n">
        <x:v>0</x:v>
      </x:c>
      <x:c r="M15" t="n">
        <x:v>1</x:v>
      </x:c>
    </x:row>
    <x:row r="16">
      <x:c r="H16" t="str">
        <x:v>051826_J0300v6_CanadaLocalized_TOF_Vid_B143v1_000AIO_Evergreen_LP001_001NYS_002TC_003NGC_005L2_007CRD_008BYL_009B_010B_011M0S48_013MULTI_014CAN_015ABF</x:v>
      </x:c>
      <x:c r="I16" t="str">
        <x:v>Nobl</x:v>
      </x:c>
      <x:c r="J16" t="str">
        <x:v>can - tof - all</x:v>
      </x:c>
      <x:c r="K16" t="n">
        <x:v>4</x:v>
      </x:c>
      <x:c r="L16" t="n">
        <x:v>1</x:v>
      </x:c>
      <x:c r="M16" t="n">
        <x:v>0</x:v>
      </x:c>
    </x:row>
    <x:row r="17">
      <x:c r="H17" t="str">
        <x:v>040626_NotGatekeepingTOF1_V1_AIR_Evergreen - 001NYS - 002LK - 000AIR - 004MULTI - 005US - 006ValueDriven - 007DEMO - 00860s - 009MULTI - 010V2 - 011MULTI - 012ENG - 013AAU</x:v>
      </x:c>
      <x:c r="I17" t="str">
        <x:v>Nobl</x:v>
      </x:c>
      <x:c r="J17" t="str">
        <x:v>usa - tof/bof - air</x:v>
      </x:c>
      <x:c r="K17" t="n">
        <x:v>3</x:v>
      </x:c>
      <x:c r="L17" t="n">
        <x:v>1</x:v>
      </x:c>
      <x:c r="M17" t="n">
        <x:v>0</x:v>
      </x:c>
    </x:row>
    <x:row r="18">
      <x:c r="H18" t="str">
        <x:v>060126_J0382v3_TSAOpeners_TOF_Vid_BJ0284v1_000AIO_Evergreen_LP001_001NYS_002LK_003NGC_005F5_007SIL_008BYL_009E_010A_011M0S51_013F2W_014USA_015AAA</x:v>
      </x:c>
      <x:c r="I18" t="str">
        <x:v>Nobl</x:v>
      </x:c>
      <x:c r="J18" t="str">
        <x:v>[n] usa - tof - all</x:v>
      </x:c>
      <x:c r="K18" t="n">
        <x:v>3</x:v>
      </x:c>
      <x:c r="L18" t="n">
        <x:v>1</x:v>
      </x:c>
      <x:c r="M18" t="n">
        <x:v>0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a20dc5454a904fd7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0" hidden="0" customWidth="1"/>
    <x:col min="3" max="3" width="28" hidden="0" customWidth="1"/>
    <x:col min="4" max="4" width="14" hidden="0" customWidth="1"/>
    <x:col min="5" max="5" width="20" hidden="0" customWidth="1"/>
    <x:col min="6" max="6" width="12" hidden="0" customWidth="1"/>
    <x:col min="7" max="7" width="10" hidden="0" customWidth="1"/>
    <x:col min="8" max="8" width="10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</x:cols>
  <x:sheetData>
    <x:row r="1" ht="24" customHeight="1">
      <x:c r="A1" s="120" t="str">
        <x:v>High Spend / High Comment Ads Report</x:v>
      </x:c>
      <x:c r="B1" s="124"/>
      <x:c r="C1" s="120"/>
      <x:c r="D1" s="120"/>
      <x:c r="E1" s="120"/>
      <x:c r="F1" s="126"/>
      <x:c r="G1" s="128"/>
      <x:c r="H1" s="130"/>
      <x:c r="I1" s="120"/>
      <x:c r="J1" s="120"/>
      <x:c r="K1" s="120"/>
      <x:c r="L1" s="120"/>
      <x:c r="M1" s="120"/>
      <x:c r="N1" s="120"/>
      <x:c r="O1" s="120"/>
    </x:row>
    <x:row r="3">
      <x:c r="A3" s="110" t="str">
        <x:v>Rank</x:v>
      </x:c>
      <x:c r="B3" s="110" t="str">
        <x:v>Ad Name</x:v>
      </x:c>
      <x:c r="C3" s="110" t="str">
        <x:v>Campaign</x:v>
      </x:c>
      <x:c r="D3" s="110" t="str">
        <x:v>Brand</x:v>
      </x:c>
      <x:c r="E3" s="110" t="str">
        <x:v>Source</x:v>
      </x:c>
      <x:c r="F3" s="110" t="str">
        <x:v>Spend</x:v>
      </x:c>
      <x:c r="G3" s="110" t="str">
        <x:v>ROAS</x:v>
      </x:c>
      <x:c r="H3" s="110" t="str">
        <x:v>CTR</x:v>
      </x:c>
      <x:c r="I3" s="110" t="str">
        <x:v>Total Comments</x:v>
      </x:c>
      <x:c r="J3" s="110" t="str">
        <x:v>Positive</x:v>
      </x:c>
      <x:c r="K3" s="110" t="str">
        <x:v>Question</x:v>
      </x:c>
      <x:c r="L3" s="110" t="str">
        <x:v>Neutral</x:v>
      </x:c>
      <x:c r="M3" s="110" t="str">
        <x:v>Negative</x:v>
      </x:c>
      <x:c r="N3" s="110" t="str">
        <x:v>Complaint</x:v>
      </x:c>
      <x:c r="O3" s="110" t="str">
        <x:v>Priority</x:v>
      </x:c>
    </x:row>
    <x:row r="4">
      <x:c r="A4" t="n">
        <x:v>1</x:v>
      </x:c>
      <x:c r="B4" t="str">
        <x:v>Organic · @angelenees.ugc</x:v>
      </x:c>
      <x:c r="C4" t="str">
        <x:v>Organic</x:v>
      </x:c>
      <x:c r="D4" t="str">
        <x:v>Unattributed</x:v>
      </x:c>
      <x:c r="E4" t="str">
        <x:v>Creator / Whitelist</x:v>
      </x:c>
      <x:c r="F4" t="str"/>
      <x:c r="G4" t="str"/>
      <x:c r="H4" t="str"/>
      <x:c r="I4" t="n">
        <x:v>121</x:v>
      </x:c>
      <x:c r="J4" t="n">
        <x:v>10</x:v>
      </x:c>
      <x:c r="K4" t="n">
        <x:v>2</x:v>
      </x:c>
      <x:c r="L4" t="n">
        <x:v>109</x:v>
      </x:c>
      <x:c r="M4" t="n">
        <x:v>0</x:v>
      </x:c>
      <x:c r="N4" t="n">
        <x:v>0</x:v>
      </x:c>
      <x:c r="O4" t="str">
        <x:v>High</x:v>
      </x:c>
    </x:row>
    <x:row r="5">
      <x:c r="A5" t="n">
        <x:v>2</x:v>
      </x:c>
      <x:c r="B5" t="str">
        <x:v>Organic · @angelenees.ugc</x:v>
      </x:c>
      <x:c r="C5" t="str">
        <x:v>Organic</x:v>
      </x:c>
      <x:c r="D5" t="str">
        <x:v>Unattributed</x:v>
      </x:c>
      <x:c r="E5" t="str">
        <x:v>Creator / Whitelist</x:v>
      </x:c>
      <x:c r="F5" t="str"/>
      <x:c r="G5" t="str"/>
      <x:c r="H5" t="str"/>
      <x:c r="I5" t="n">
        <x:v>68</x:v>
      </x:c>
      <x:c r="J5" t="n">
        <x:v>1</x:v>
      </x:c>
      <x:c r="K5" t="n">
        <x:v>0</x:v>
      </x:c>
      <x:c r="L5" t="n">
        <x:v>67</x:v>
      </x:c>
      <x:c r="M5" t="n">
        <x:v>0</x:v>
      </x:c>
      <x:c r="N5" t="n">
        <x:v>0</x:v>
      </x:c>
      <x:c r="O5" t="str">
        <x:v>High</x:v>
      </x:c>
    </x:row>
    <x:row r="6">
      <x:c r="A6" t="n">
        <x:v>3</x:v>
      </x:c>
      <x:c r="B6" t="str">
        <x:v>Organic · @angelenees.ugc</x:v>
      </x:c>
      <x:c r="C6" t="str">
        <x:v>Organic</x:v>
      </x:c>
      <x:c r="D6" t="str">
        <x:v>Unattributed</x:v>
      </x:c>
      <x:c r="E6" t="str">
        <x:v>Creator / Whitelist</x:v>
      </x:c>
      <x:c r="F6" t="str"/>
      <x:c r="G6" t="str"/>
      <x:c r="H6" t="str"/>
      <x:c r="I6" t="n">
        <x:v>55</x:v>
      </x:c>
      <x:c r="J6" t="n">
        <x:v>3</x:v>
      </x:c>
      <x:c r="K6" t="n">
        <x:v>1</x:v>
      </x:c>
      <x:c r="L6" t="n">
        <x:v>50</x:v>
      </x:c>
      <x:c r="M6" t="n">
        <x:v>1</x:v>
      </x:c>
      <x:c r="N6" t="n">
        <x:v>0</x:v>
      </x:c>
      <x:c r="O6" t="str">
        <x:v>High</x:v>
      </x:c>
    </x:row>
    <x:row r="7">
      <x:c r="A7" t="n">
        <x:v>4</x:v>
      </x:c>
      <x:c r="B7" t="str">
        <x:v>060826_J-0419v1_MyExHusbandsGirlfriend_TOF_Vid_000AIO_Evergreen_LP001_001NYS_002FA_003UGC_005J2_007MNT_008MNT_009B_010B_011M8S37_013F4B_014USA_015AAT</x:v>
      </x:c>
      <x:c r="C7" t="str">
        <x:v>usa - tof - all</x:v>
      </x:c>
      <x:c r="D7" t="str">
        <x:v>Nobl</x:v>
      </x:c>
      <x:c r="E7" t="str">
        <x:v>Brand page</x:v>
      </x:c>
      <x:c r="F7" t="str"/>
      <x:c r="G7" t="str"/>
      <x:c r="H7" t="str"/>
      <x:c r="I7" t="n">
        <x:v>46</x:v>
      </x:c>
      <x:c r="J7" t="n">
        <x:v>22</x:v>
      </x:c>
      <x:c r="K7" t="n">
        <x:v>8</x:v>
      </x:c>
      <x:c r="L7" t="n">
        <x:v>10</x:v>
      </x:c>
      <x:c r="M7" t="n">
        <x:v>6</x:v>
      </x:c>
      <x:c r="N7" t="n">
        <x:v>0</x:v>
      </x:c>
      <x:c r="O7" t="str">
        <x:v>Urgent</x:v>
      </x:c>
    </x:row>
    <x:row r="8">
      <x:c r="A8" t="n">
        <x:v>5</x:v>
      </x:c>
      <x:c r="B8" t="str">
        <x:v>Organic · @angelenees.ugc</x:v>
      </x:c>
      <x:c r="C8" t="str">
        <x:v>Organic</x:v>
      </x:c>
      <x:c r="D8" t="str">
        <x:v>Unattributed</x:v>
      </x:c>
      <x:c r="E8" t="str">
        <x:v>Creator / Whitelist</x:v>
      </x:c>
      <x:c r="F8" t="str"/>
      <x:c r="G8" t="str"/>
      <x:c r="H8" t="str"/>
      <x:c r="I8" t="n">
        <x:v>35</x:v>
      </x:c>
      <x:c r="J8" t="n">
        <x:v>0</x:v>
      </x:c>
      <x:c r="K8" t="n">
        <x:v>0</x:v>
      </x:c>
      <x:c r="L8" t="n">
        <x:v>35</x:v>
      </x:c>
      <x:c r="M8" t="n">
        <x:v>0</x:v>
      </x:c>
      <x:c r="N8" t="n">
        <x:v>0</x:v>
      </x:c>
      <x:c r="O8" t="str">
        <x:v>High</x:v>
      </x:c>
    </x:row>
    <x:row r="9">
      <x:c r="A9" t="n">
        <x:v>6</x:v>
      </x:c>
      <x:c r="B9" t="str">
        <x:v>Organic · @mauro.littera</x:v>
      </x:c>
      <x:c r="C9" t="str">
        <x:v>Organic</x:v>
      </x:c>
      <x:c r="D9" t="str">
        <x:v>Unattributed</x:v>
      </x:c>
      <x:c r="E9" t="str">
        <x:v>Creator / Whitelist</x:v>
      </x:c>
      <x:c r="F9" t="str"/>
      <x:c r="G9" t="str"/>
      <x:c r="H9" t="str"/>
      <x:c r="I9" t="n">
        <x:v>33</x:v>
      </x:c>
      <x:c r="J9" t="n">
        <x:v>31</x:v>
      </x:c>
      <x:c r="K9" t="n">
        <x:v>0</x:v>
      </x:c>
      <x:c r="L9" t="n">
        <x:v>2</x:v>
      </x:c>
      <x:c r="M9" t="n">
        <x:v>0</x:v>
      </x:c>
      <x:c r="N9" t="n">
        <x:v>0</x:v>
      </x:c>
      <x:c r="O9" t="str">
        <x:v>High</x:v>
      </x:c>
    </x:row>
    <x:row r="10">
      <x:c r="A10" t="n">
        <x:v>7</x:v>
      </x:c>
      <x:c r="B10" t="str">
        <x:v>Organic · @angelenees.ugc</x:v>
      </x:c>
      <x:c r="C10" t="str">
        <x:v>Organic</x:v>
      </x:c>
      <x:c r="D10" t="str">
        <x:v>Unattributed</x:v>
      </x:c>
      <x:c r="E10" t="str">
        <x:v>Creator / Whitelist</x:v>
      </x:c>
      <x:c r="F10" t="str"/>
      <x:c r="G10" t="str"/>
      <x:c r="H10" t="str"/>
      <x:c r="I10" t="n">
        <x:v>30</x:v>
      </x:c>
      <x:c r="J10" t="n">
        <x:v>2</x:v>
      </x:c>
      <x:c r="K10" t="n">
        <x:v>0</x:v>
      </x:c>
      <x:c r="L10" t="n">
        <x:v>28</x:v>
      </x:c>
      <x:c r="M10" t="n">
        <x:v>0</x:v>
      </x:c>
      <x:c r="N10" t="n">
        <x:v>0</x:v>
      </x:c>
      <x:c r="O10" t="str">
        <x:v>High</x:v>
      </x:c>
    </x:row>
    <x:row r="11">
      <x:c r="A11" t="n">
        <x:v>8</x:v>
      </x:c>
      <x:c r="B11" t="str">
        <x:v>Organic · @chaltner</x:v>
      </x:c>
      <x:c r="C11" t="str">
        <x:v>Organic</x:v>
      </x:c>
      <x:c r="D11" t="str">
        <x:v>Unattributed</x:v>
      </x:c>
      <x:c r="E11" t="str">
        <x:v>Creator / Whitelist</x:v>
      </x:c>
      <x:c r="F11" t="str"/>
      <x:c r="G11" t="str"/>
      <x:c r="H11" t="str"/>
      <x:c r="I11" t="n">
        <x:v>30</x:v>
      </x:c>
      <x:c r="J11" t="n">
        <x:v>30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str">
        <x:v>High</x:v>
      </x:c>
    </x:row>
    <x:row r="12">
      <x:c r="A12" t="n">
        <x:v>9</x:v>
      </x:c>
      <x:c r="B12" t="str">
        <x:v>Organic · @sarahlauren_71</x:v>
      </x:c>
      <x:c r="C12" t="str">
        <x:v>Organic</x:v>
      </x:c>
      <x:c r="D12" t="str">
        <x:v>Unattributed</x:v>
      </x:c>
      <x:c r="E12" t="str">
        <x:v>Creator / Whitelist</x:v>
      </x:c>
      <x:c r="F12" t="str"/>
      <x:c r="G12" t="str"/>
      <x:c r="H12" t="str"/>
      <x:c r="I12" t="n">
        <x:v>22</x:v>
      </x:c>
      <x:c r="J12" t="n">
        <x:v>9</x:v>
      </x:c>
      <x:c r="K12" t="n">
        <x:v>2</x:v>
      </x:c>
      <x:c r="L12" t="n">
        <x:v>7</x:v>
      </x:c>
      <x:c r="M12" t="n">
        <x:v>4</x:v>
      </x:c>
      <x:c r="N12" t="n">
        <x:v>0</x:v>
      </x:c>
      <x:c r="O12" t="str">
        <x:v>High</x:v>
      </x:c>
    </x:row>
    <x:row r="13">
      <x:c r="A13" t="n">
        <x:v>10</x:v>
      </x:c>
      <x:c r="B13" t="str">
        <x:v>Organic · @ugcbytengy</x:v>
      </x:c>
      <x:c r="C13" t="str">
        <x:v>Organic</x:v>
      </x:c>
      <x:c r="D13" t="str">
        <x:v>Unattributed</x:v>
      </x:c>
      <x:c r="E13" t="str">
        <x:v>Creator / Whitelist</x:v>
      </x:c>
      <x:c r="F13" t="str"/>
      <x:c r="G13" t="str"/>
      <x:c r="H13" t="str"/>
      <x:c r="I13" t="n">
        <x:v>20</x:v>
      </x:c>
      <x:c r="J13" t="n">
        <x:v>19</x:v>
      </x:c>
      <x:c r="K13" t="n">
        <x:v>0</x:v>
      </x:c>
      <x:c r="L13" t="n">
        <x:v>1</x:v>
      </x:c>
      <x:c r="M13" t="n">
        <x:v>0</x:v>
      </x:c>
      <x:c r="N13" t="n">
        <x:v>0</x:v>
      </x:c>
      <x:c r="O13" t="str">
        <x:v>High</x:v>
      </x:c>
    </x:row>
    <x:row r="14">
      <x:c r="A14" t="n">
        <x:v>11</x:v>
      </x:c>
      <x:c r="B14" t="str">
        <x:v>Organic · @chaltner</x:v>
      </x:c>
      <x:c r="C14" t="str">
        <x:v>Organic</x:v>
      </x:c>
      <x:c r="D14" t="str">
        <x:v>Unattributed</x:v>
      </x:c>
      <x:c r="E14" t="str">
        <x:v>Creator / Whitelist</x:v>
      </x:c>
      <x:c r="F14" t="str"/>
      <x:c r="G14" t="str"/>
      <x:c r="H14" t="str"/>
      <x:c r="I14" t="n">
        <x:v>19</x:v>
      </x:c>
      <x:c r="J14" t="n">
        <x:v>16</x:v>
      </x:c>
      <x:c r="K14" t="n">
        <x:v>0</x:v>
      </x:c>
      <x:c r="L14" t="n">
        <x:v>3</x:v>
      </x:c>
      <x:c r="M14" t="n">
        <x:v>0</x:v>
      </x:c>
      <x:c r="N14" t="n">
        <x:v>0</x:v>
      </x:c>
      <x:c r="O14" t="str">
        <x:v>High</x:v>
      </x:c>
    </x:row>
    <x:row r="15">
      <x:c r="A15" t="n">
        <x:v>12</x:v>
      </x:c>
      <x:c r="B15" t="str">
        <x:v>Organic · @ellenhellkvist</x:v>
      </x:c>
      <x:c r="C15" t="str">
        <x:v>Organic</x:v>
      </x:c>
      <x:c r="D15" t="str">
        <x:v>Unattributed</x:v>
      </x:c>
      <x:c r="E15" t="str">
        <x:v>Creator / Whitelist</x:v>
      </x:c>
      <x:c r="F15" t="str"/>
      <x:c r="G15" t="str"/>
      <x:c r="H15" t="str"/>
      <x:c r="I15" t="n">
        <x:v>15</x:v>
      </x:c>
      <x:c r="J15" t="n">
        <x:v>14</x:v>
      </x:c>
      <x:c r="K15" t="n">
        <x:v>1</x:v>
      </x:c>
      <x:c r="L15" t="n">
        <x:v>0</x:v>
      </x:c>
      <x:c r="M15" t="n">
        <x:v>0</x:v>
      </x:c>
      <x:c r="N15" t="n">
        <x:v>0</x:v>
      </x:c>
      <x:c r="O15" t="str">
        <x:v>High</x:v>
      </x:c>
    </x:row>
    <x:row r="16">
      <x:c r="A16" t="n">
        <x:v>13</x:v>
      </x:c>
      <x:c r="B16" t="str">
        <x:v>Organic · @angelenees.ugc</x:v>
      </x:c>
      <x:c r="C16" t="str">
        <x:v>Organic</x:v>
      </x:c>
      <x:c r="D16" t="str">
        <x:v>Unattributed</x:v>
      </x:c>
      <x:c r="E16" t="str">
        <x:v>Creator / Whitelist</x:v>
      </x:c>
      <x:c r="F16" t="str"/>
      <x:c r="G16" t="str"/>
      <x:c r="H16" t="str"/>
      <x:c r="I16" t="n">
        <x:v>12</x:v>
      </x:c>
      <x:c r="J16" t="n">
        <x:v>4</x:v>
      </x:c>
      <x:c r="K16" t="n">
        <x:v>1</x:v>
      </x:c>
      <x:c r="L16" t="n">
        <x:v>7</x:v>
      </x:c>
      <x:c r="M16" t="n">
        <x:v>0</x:v>
      </x:c>
      <x:c r="N16" t="n">
        <x:v>0</x:v>
      </x:c>
      <x:c r="O16" t="str">
        <x:v>High</x:v>
      </x:c>
    </x:row>
    <x:row r="17">
      <x:c r="A17" t="n">
        <x:v>14</x:v>
      </x:c>
      <x:c r="B17" t="str">
        <x:v>Organic · @mauro.littera</x:v>
      </x:c>
      <x:c r="C17" t="str">
        <x:v>Organic</x:v>
      </x:c>
      <x:c r="D17" t="str">
        <x:v>Unattributed</x:v>
      </x:c>
      <x:c r="E17" t="str">
        <x:v>Creator / Whitelist</x:v>
      </x:c>
      <x:c r="F17" t="str"/>
      <x:c r="G17" t="str"/>
      <x:c r="H17" t="str"/>
      <x:c r="I17" t="n">
        <x:v>12</x:v>
      </x:c>
      <x:c r="J17" t="n">
        <x:v>12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str">
        <x:v>High</x:v>
      </x:c>
    </x:row>
    <x:row r="18">
      <x:c r="A18" t="n">
        <x:v>15</x:v>
      </x:c>
      <x:c r="B18" t="str">
        <x:v>060126_J0382v3_TSAOpeners_TOF_Vid_BJ0284v1_000AIO_Evergreen_LP001_001NYS_002LK_003NGC_005F5_007SIL_008BYL_009E_010A_011M0S51_013F2W_014USA_015AAA</x:v>
      </x:c>
      <x:c r="C18" t="str">
        <x:v>usa - tof - all</x:v>
      </x:c>
      <x:c r="D18" t="str">
        <x:v>Nobl</x:v>
      </x:c>
      <x:c r="E18" t="str">
        <x:v>Brand page</x:v>
      </x:c>
      <x:c r="F18" t="str"/>
      <x:c r="G18" t="str"/>
      <x:c r="H18" t="str"/>
      <x:c r="I18" t="n">
        <x:v>10</x:v>
      </x:c>
      <x:c r="J18" t="n">
        <x:v>4</x:v>
      </x:c>
      <x:c r="K18" t="n">
        <x:v>2</x:v>
      </x:c>
      <x:c r="L18" t="n">
        <x:v>1</x:v>
      </x:c>
      <x:c r="M18" t="n">
        <x:v>2</x:v>
      </x:c>
      <x:c r="N18" t="n">
        <x:v>1</x:v>
      </x:c>
      <x:c r="O18" t="str">
        <x:v>High</x:v>
      </x:c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7fd2900a47e64777"/>
  <x:tableParts count="1">
    <x:tablePart xmlns:r="http://schemas.openxmlformats.org/officeDocument/2006/relationships" r:id="Rdbf7f2a857414ac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34" hidden="0" customWidth="1"/>
    <x:col min="8" max="8" width="28" hidden="0" customWidth="1"/>
  </x:cols>
  <x:sheetData>
    <x:row r="1" ht="24" customHeight="1">
      <x:c r="A1" s="134" t="str">
        <x:v>Dashboard Filter &amp; Counter QA - Expected vs UI Count</x:v>
      </x:c>
      <x:c r="B1" s="134"/>
      <x:c r="C1" s="134"/>
      <x:c r="D1" s="134"/>
      <x:c r="E1" s="134"/>
      <x:c r="F1" s="134"/>
      <x:c r="G1" s="140"/>
      <x:c r="H1" s="140"/>
    </x:row>
    <x:row r="3">
      <x:c r="A3" s="22" t="str">
        <x:v>Area</x:v>
      </x:c>
      <x:c r="B3" s="22" t="str">
        <x:v>Filter / Counter</x:v>
      </x:c>
      <x:c r="C3" s="22" t="str">
        <x:v>Expected Count</x:v>
      </x:c>
      <x:c r="D3" s="22" t="str">
        <x:v>Dashboard UI Count</x:v>
      </x:c>
      <x:c r="E3" s="22" t="str">
        <x:v>Difference</x:v>
      </x:c>
      <x:c r="F3" s="22" t="str">
        <x:v>Pass / Fail</x:v>
      </x:c>
      <x:c r="G3" s="22" t="str">
        <x:v>Formula / Logic</x:v>
      </x:c>
      <x:c r="H3" s="22" t="str">
        <x:v>Notes</x:v>
      </x:c>
    </x:row>
    <x:row r="4">
      <x:c r="A4" t="str">
        <x:v>Overall</x:v>
      </x:c>
      <x:c r="B4" t="str">
        <x:v>All Comments</x:v>
      </x:c>
      <x:c r="C4" s="138" t="n">
        <x:f>Daily_Summary_Input!B2</x:f>
        <x:v>815</x:v>
      </x:c>
      <x:c r="D4" s="138" t="str"/>
      <x:c r="E4" s="138" t="n">
        <x:f>C4-D4</x:f>
        <x:v>815</x:v>
      </x:c>
      <x:c r="F4" s="138" t="str">
        <x:f>IF(E4=0,"PASS","CHECK")</x:f>
        <x:v>CHECK</x:v>
      </x:c>
      <x:c r="G4" s="138" t="str">
        <x:v>Overall total from daily summary</x:v>
      </x:c>
      <x:c r="H4" t="str"/>
    </x:row>
    <x:row r="5">
      <x:c r="A5" t="str">
        <x:v>Brand</x:v>
      </x:c>
      <x:c r="B5" t="str">
        <x:v>NOBL</x:v>
      </x:c>
      <x:c r="C5" s="138" t="n">
        <x:f>Daily_Summary_Input!B3</x:f>
        <x:v>274</x:v>
      </x:c>
      <x:c r="D5" s="138" t="str"/>
      <x:c r="E5" s="138" t="n">
        <x:f>C5-D5</x:f>
        <x:v>274</x:v>
      </x:c>
      <x:c r="F5" s="138" t="str">
        <x:f>IF(E5=0,"PASS","CHECK")</x:f>
        <x:v>CHECK</x:v>
      </x:c>
      <x:c r="G5" s="138" t="str">
        <x:v>Brand: Nobl total</x:v>
      </x:c>
      <x:c r="H5" t="str"/>
    </x:row>
    <x:row r="6">
      <x:c r="A6" t="str">
        <x:v>Brand</x:v>
      </x:c>
      <x:c r="B6" t="str">
        <x:v>FLO</x:v>
      </x:c>
      <x:c r="C6" s="138" t="n">
        <x:f>Daily_Summary_Input!B4</x:f>
        <x:v>9</x:v>
      </x:c>
      <x:c r="D6" s="138" t="str"/>
      <x:c r="E6" s="138" t="n">
        <x:f>C6-D6</x:f>
        <x:v>9</x:v>
      </x:c>
      <x:c r="F6" s="138" t="str">
        <x:f>IF(E6=0,"PASS","CHECK")</x:f>
        <x:v>CHECK</x:v>
      </x:c>
      <x:c r="G6" s="138" t="str">
        <x:v>Brand: Flo total</x:v>
      </x:c>
      <x:c r="H6" t="str"/>
    </x:row>
    <x:row r="7">
      <x:c r="A7" t="str">
        <x:v>Brand</x:v>
      </x:c>
      <x:c r="B7" t="str">
        <x:v>Unattributed</x:v>
      </x:c>
      <x:c r="C7" s="138" t="n">
        <x:f>Daily_Summary_Input!B5</x:f>
        <x:v>532</x:v>
      </x:c>
      <x:c r="D7" s="138" t="str"/>
      <x:c r="E7" s="138" t="n">
        <x:f>C7-D7</x:f>
        <x:v>532</x:v>
      </x:c>
      <x:c r="F7" s="138" t="str">
        <x:f>IF(E7=0,"PASS","CHECK")</x:f>
        <x:v>CHECK</x:v>
      </x:c>
      <x:c r="G7" s="138" t="str">
        <x:v>Brand: Unattributed total</x:v>
      </x:c>
      <x:c r="H7" t="str"/>
    </x:row>
    <x:row r="8">
      <x:c r="A8" t="str">
        <x:v>Platform</x:v>
      </x:c>
      <x:c r="B8" t="str">
        <x:v>Facebook</x:v>
      </x:c>
      <x:c r="C8" s="138" t="n">
        <x:f>Daily_Summary_Input!B9</x:f>
        <x:v>213</x:v>
      </x:c>
      <x:c r="D8" s="138" t="str"/>
      <x:c r="E8" s="138" t="n">
        <x:f>C8-D8</x:f>
        <x:v>213</x:v>
      </x:c>
      <x:c r="F8" s="138" t="str">
        <x:f>IF(E8=0,"PASS","CHECK")</x:f>
        <x:v>CHECK</x:v>
      </x:c>
      <x:c r="G8" s="138" t="str">
        <x:v>Platform: Facebook total</x:v>
      </x:c>
      <x:c r="H8" t="str"/>
    </x:row>
    <x:row r="9">
      <x:c r="A9" t="str">
        <x:v>Platform</x:v>
      </x:c>
      <x:c r="B9" t="str">
        <x:v>Instagram</x:v>
      </x:c>
      <x:c r="C9" s="138" t="n">
        <x:f>Daily_Summary_Input!B10</x:f>
        <x:v>602</x:v>
      </x:c>
      <x:c r="D9" s="138" t="str"/>
      <x:c r="E9" s="138" t="n">
        <x:f>C9-D9</x:f>
        <x:v>602</x:v>
      </x:c>
      <x:c r="F9" s="138" t="str">
        <x:f>IF(E9=0,"PASS","CHECK")</x:f>
        <x:v>CHECK</x:v>
      </x:c>
      <x:c r="G9" s="138" t="str">
        <x:v>Platform: Instagram total</x:v>
      </x:c>
      <x:c r="H9" t="str"/>
    </x:row>
    <x:row r="10">
      <x:c r="A10" t="str">
        <x:v>Sentiment</x:v>
      </x:c>
      <x:c r="B10" t="str">
        <x:v>Positive</x:v>
      </x:c>
      <x:c r="C10" s="138" t="n">
        <x:f>Daily_Summary_Input!C2</x:f>
        <x:v>255</x:v>
      </x:c>
      <x:c r="D10" s="138" t="str"/>
      <x:c r="E10" s="138" t="n">
        <x:f>C10-D10</x:f>
        <x:v>255</x:v>
      </x:c>
      <x:c r="F10" s="138" t="str">
        <x:f>IF(E10=0,"PASS","CHECK")</x:f>
        <x:v>CHECK</x:v>
      </x:c>
      <x:c r="G10" s="138" t="str">
        <x:v>Positive comments</x:v>
      </x:c>
      <x:c r="H10" t="str"/>
    </x:row>
    <x:row r="11">
      <x:c r="A11" t="str">
        <x:v>Sentiment</x:v>
      </x:c>
      <x:c r="B11" t="str">
        <x:v>Question</x:v>
      </x:c>
      <x:c r="C11" s="138" t="n">
        <x:f>Daily_Summary_Input!D2</x:f>
        <x:v>82</x:v>
      </x:c>
      <x:c r="D11" s="138" t="str"/>
      <x:c r="E11" s="138" t="n">
        <x:f>C11-D11</x:f>
        <x:v>82</x:v>
      </x:c>
      <x:c r="F11" s="138" t="str">
        <x:f>IF(E11=0,"PASS","CHECK")</x:f>
        <x:v>CHECK</x:v>
      </x:c>
      <x:c r="G11" s="138" t="str">
        <x:v>Question comments</x:v>
      </x:c>
      <x:c r="H11" t="str"/>
    </x:row>
    <x:row r="12">
      <x:c r="A12" t="str">
        <x:v>Sentiment</x:v>
      </x:c>
      <x:c r="B12" t="str">
        <x:v>Neutral</x:v>
      </x:c>
      <x:c r="C12" s="138" t="n">
        <x:f>Daily_Summary_Input!E2</x:f>
        <x:v>423</x:v>
      </x:c>
      <x:c r="D12" s="138" t="str"/>
      <x:c r="E12" s="138" t="n">
        <x:f>C12-D12</x:f>
        <x:v>423</x:v>
      </x:c>
      <x:c r="F12" s="138" t="str">
        <x:f>IF(E12=0,"PASS","CHECK")</x:f>
        <x:v>CHECK</x:v>
      </x:c>
      <x:c r="G12" s="138" t="str">
        <x:v>Neutral comments</x:v>
      </x:c>
      <x:c r="H12" t="str"/>
    </x:row>
    <x:row r="13">
      <x:c r="A13" t="str">
        <x:v>Sentiment</x:v>
      </x:c>
      <x:c r="B13" t="str">
        <x:v>Negative</x:v>
      </x:c>
      <x:c r="C13" s="138" t="n">
        <x:f>Daily_Summary_Input!F2</x:f>
        <x:v>43</x:v>
      </x:c>
      <x:c r="D13" s="138" t="str"/>
      <x:c r="E13" s="138" t="n">
        <x:f>C13-D13</x:f>
        <x:v>43</x:v>
      </x:c>
      <x:c r="F13" s="138" t="str">
        <x:f>IF(E13=0,"PASS","CHECK")</x:f>
        <x:v>CHECK</x:v>
      </x:c>
      <x:c r="G13" s="138" t="str">
        <x:v>Negative comments</x:v>
      </x:c>
      <x:c r="H13" t="str"/>
    </x:row>
    <x:row r="14">
      <x:c r="A14" t="str">
        <x:v>Sentiment</x:v>
      </x:c>
      <x:c r="B14" t="str">
        <x:v>Complaint</x:v>
      </x:c>
      <x:c r="C14" s="138" t="n">
        <x:f>Daily_Summary_Input!G2</x:f>
        <x:v>12</x:v>
      </x:c>
      <x:c r="D14" s="138" t="str"/>
      <x:c r="E14" s="138" t="n">
        <x:f>C14-D14</x:f>
        <x:v>12</x:v>
      </x:c>
      <x:c r="F14" s="138" t="str">
        <x:f>IF(E14=0,"PASS","CHECK")</x:f>
        <x:v>CHECK</x:v>
      </x:c>
      <x:c r="G14" s="138" t="str">
        <x:v>Complaint comments</x:v>
      </x:c>
      <x:c r="H14" t="str"/>
    </x:row>
    <x:row r="15">
      <x:c r="A15" t="str">
        <x:v>Source</x:v>
      </x:c>
      <x:c r="B15" t="str">
        <x:v>Brand Page</x:v>
      </x:c>
      <x:c r="C15" s="138" t="n">
        <x:f>Daily_Summary_Input!B6</x:f>
        <x:v>263</x:v>
      </x:c>
      <x:c r="D15" s="138" t="str"/>
      <x:c r="E15" s="138" t="n">
        <x:f>C15-D15</x:f>
        <x:v>263</x:v>
      </x:c>
      <x:c r="F15" s="138" t="str">
        <x:f>IF(E15=0,"PASS","CHECK")</x:f>
        <x:v>CHECK</x:v>
      </x:c>
      <x:c r="G15" s="138" t="str">
        <x:v>Source: Brand page</x:v>
      </x:c>
      <x:c r="H15" t="str"/>
    </x:row>
    <x:row r="16">
      <x:c r="A16" t="str">
        <x:v>Source</x:v>
      </x:c>
      <x:c r="B16" t="str">
        <x:v>Creator / Whitelist</x:v>
      </x:c>
      <x:c r="C16" s="138" t="n">
        <x:f>Daily_Summary_Input!B7</x:f>
        <x:v>547</x:v>
      </x:c>
      <x:c r="D16" s="138" t="str"/>
      <x:c r="E16" s="138" t="n">
        <x:f>C16-D16</x:f>
        <x:v>547</x:v>
      </x:c>
      <x:c r="F16" s="138" t="str">
        <x:f>IF(E16=0,"PASS","CHECK")</x:f>
        <x:v>CHECK</x:v>
      </x:c>
      <x:c r="G16" s="138" t="str">
        <x:v>Source: Creator / Whitelist</x:v>
      </x:c>
      <x:c r="H16" t="str"/>
    </x:row>
    <x:row r="17">
      <x:c r="A17" t="str">
        <x:v>Home</x:v>
      </x:c>
      <x:c r="B17" t="str">
        <x:v>Today latest comments</x:v>
      </x:c>
      <x:c r="C17" s="138" t="n">
        <x:f>COUNTIF(Comments_Input!O:O,1)</x:f>
        <x:v>0</x:v>
      </x:c>
      <x:c r="D17" s="138" t="str"/>
      <x:c r="E17" s="138" t="n">
        <x:f>C17-D17</x:f>
        <x:v>0</x:v>
      </x:c>
      <x:c r="F17" s="138" t="str">
        <x:f>IF(E17=0,"PASS","CHECK")</x:f>
        <x:v>PASS</x:v>
      </x:c>
      <x:c r="G17" s="138" t="str">
        <x:v>Only comments with Is_Today = 1</x:v>
      </x:c>
      <x:c r="H17" t="str"/>
    </x:row>
  </x:sheetData>
  <x:mergeCells>
    <x:mergeCell ref="A1:H1"/>
  </x:mergeCells>
  <x:conditionalFormatting sqref="F4:F17">
    <x:cfRule type="expression" dxfId="0" priority="1">
      <x:formula>F4="CHECK"</x:formula>
    </x:cfRule>
    <x:cfRule type="expression" dxfId="1" priority="2">
      <x:formula>F4="PASS"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2" hidden="0" customWidth="1"/>
    <x:col min="4" max="4" width="12" hidden="0" customWidth="1"/>
    <x:col min="5" max="5" width="14" hidden="0" customWidth="1"/>
    <x:col min="6" max="6" width="14" hidden="0" customWidth="1"/>
    <x:col min="7" max="7" width="46" hidden="0" customWidth="1"/>
  </x:cols>
  <x:sheetData>
    <x:row r="1" ht="24" customHeight="1">
      <x:c r="A1" s="150" t="str">
        <x:v>Meta Dashboard UI Change Specification</x:v>
      </x:c>
      <x:c r="B1" s="150"/>
      <x:c r="C1" s="150"/>
      <x:c r="D1" s="150"/>
      <x:c r="E1" s="150"/>
      <x:c r="F1" s="150"/>
      <x:c r="G1" s="150"/>
    </x:row>
    <x:row r="3">
      <x:c r="A3" s="145" t="str">
        <x:v>Screen / Area</x:v>
      </x:c>
      <x:c r="B3" s="145" t="str">
        <x:v>Change Required</x:v>
      </x:c>
      <x:c r="C3" s="145" t="str">
        <x:v>Reason</x:v>
      </x:c>
      <x:c r="D3" s="145" t="str">
        <x:v>Priority</x:v>
      </x:c>
      <x:c r="E3" s="145" t="str">
        <x:v>Owner</x:v>
      </x:c>
      <x:c r="F3" s="145" t="str">
        <x:v>Status</x:v>
      </x:c>
      <x:c r="G3" s="145" t="str">
        <x:v>Acceptance Criteria</x:v>
      </x:c>
    </x:row>
    <x:row r="4">
      <x:c r="A4" t="str">
        <x:v>Global navigation / filters</x:v>
      </x:c>
      <x:c r="B4" t="str">
        <x:v>Fix all counters: comments, ads, high spend, brand, platform, status, sentiment</x:v>
      </x:c>
      <x:c r="C4" t="str">
        <x:v>Counts should match backend query and selected filters</x:v>
      </x:c>
      <x:c r="D4" t="str">
        <x:v>High</x:v>
      </x:c>
      <x:c r="E4" t="str"/>
      <x:c r="F4" t="str">
        <x:v>Not Started</x:v>
      </x:c>
      <x:c r="G4" t="str">
        <x:v>Every displayed count matches Filter_Count_QA expected logic</x:v>
      </x:c>
    </x:row>
    <x:row r="5">
      <x:c r="A5" t="str">
        <x:v>All comment cards / drawers</x:v>
      </x:c>
      <x:c r="B5" t="str">
        <x:v>Remove Assign Comment form/button/dropdown everywhere</x:v>
      </x:c>
      <x:c r="C5" t="str">
        <x:v>Assignment is no longer required in moderation flow</x:v>
      </x:c>
      <x:c r="D5" t="str">
        <x:v>High</x:v>
      </x:c>
      <x:c r="E5" t="str"/>
      <x:c r="F5" t="str">
        <x:v>Not Started</x:v>
      </x:c>
      <x:c r="G5" t="str">
        <x:v>No assign UI visible in comment card, drawer, bulk actions, or detail page</x:v>
      </x:c>
    </x:row>
    <x:row r="6">
      <x:c r="A6" t="str">
        <x:v>Home screen</x:v>
      </x:c>
      <x:c r="B6" t="str">
        <x:v>Show only today latest comments</x:v>
      </x:c>
      <x:c r="C6" t="str">
        <x:v>Landing page should reflect current-day workload</x:v>
      </x:c>
      <x:c r="D6" t="str">
        <x:v>High</x:v>
      </x:c>
      <x:c r="E6" t="str"/>
      <x:c r="F6" t="str">
        <x:v>Not Started</x:v>
      </x:c>
      <x:c r="G6" t="str">
        <x:v>Latest comments list filters by today date only</x:v>
      </x:c>
    </x:row>
    <x:row r="7">
      <x:c r="A7" t="str">
        <x:v>Home screen</x:v>
      </x:c>
      <x:c r="B7" t="str">
        <x:v>Add today vs yesterday variance cards</x:v>
      </x:c>
      <x:c r="C7" t="str">
        <x:v>Managers need daily movement</x:v>
      </x:c>
      <x:c r="D7" t="str">
        <x:v>High</x:v>
      </x:c>
      <x:c r="E7" t="str"/>
      <x:c r="F7" t="str">
        <x:v>Not Started</x:v>
      </x:c>
      <x:c r="G7" t="str">
        <x:v>Cards show value, yesterday value, numeric variance, and percentage variance</x:v>
      </x:c>
    </x:row>
    <x:row r="8">
      <x:c r="A8" t="str">
        <x:v>Home screen</x:v>
      </x:c>
      <x:c r="B8" t="str">
        <x:v>Show sentiment of people for today comments</x:v>
      </x:c>
      <x:c r="C8" t="str">
        <x:v>Need quick customer mood view</x:v>
      </x:c>
      <x:c r="D8" t="str">
        <x:v>High</x:v>
      </x:c>
      <x:c r="E8" t="str"/>
      <x:c r="F8" t="str">
        <x:v>Not Started</x:v>
      </x:c>
      <x:c r="G8" t="str">
        <x:v>Positive / question / neutral / negative / complaint chart visible</x:v>
      </x:c>
    </x:row>
    <x:row r="9">
      <x:c r="A9" t="str">
        <x:v>Home screen</x:v>
      </x:c>
      <x:c r="B9" t="str">
        <x:v>Show top spend ads with comment details</x:v>
      </x:c>
      <x:c r="C9" t="str">
        <x:v>Moderation should prioritize high-spend ads</x:v>
      </x:c>
      <x:c r="D9" t="str">
        <x:v>High</x:v>
      </x:c>
      <x:c r="E9" t="str"/>
      <x:c r="F9" t="str">
        <x:v>Not Started</x:v>
      </x:c>
      <x:c r="G9" t="str">
        <x:v>Top ads table has spend, comments, risk sentiment, campaign, source</x:v>
      </x:c>
    </x:row>
    <x:row r="10">
      <x:c r="A10" t="str">
        <x:v>Home screen</x:v>
      </x:c>
      <x:c r="B10" t="str">
        <x:v>Show important items / urgent issues</x:v>
      </x:c>
      <x:c r="C10" t="str">
        <x:v>Team should know what needs action first</x:v>
      </x:c>
      <x:c r="D10" t="str">
        <x:v>High</x:v>
      </x:c>
      <x:c r="E10" t="str"/>
      <x:c r="F10" t="str">
        <x:v>Not Started</x:v>
      </x:c>
      <x:c r="G10" t="str">
        <x:v>Complaint and negative ads listed with priority</x:v>
      </x:c>
    </x:row>
    <x:row r="11">
      <x:c r="A11" t="str">
        <x:v>Brand filters</x:v>
      </x:c>
      <x:c r="B11" t="str">
        <x:v>Separate NOBL and FLO clearly</x:v>
      </x:c>
      <x:c r="C11" t="str">
        <x:v>Brand teams need independent reporting</x:v>
      </x:c>
      <x:c r="D11" t="str">
        <x:v>High</x:v>
      </x:c>
      <x:c r="E11" t="str"/>
      <x:c r="F11" t="str">
        <x:v>Not Started</x:v>
      </x:c>
      <x:c r="G11" t="str">
        <x:v>NOBL and FLO counts/charts are separate</x:v>
      </x:c>
    </x:row>
    <x:row r="12">
      <x:c r="A12" t="str">
        <x:v>Source filter</x:v>
      </x:c>
      <x:c r="B12" t="str">
        <x:v>Separate Brand page vs Creator / Whitelist vs Organic</x:v>
      </x:c>
      <x:c r="C12" t="str">
        <x:v>Whitelisting and third-party ads need visibility</x:v>
      </x:c>
      <x:c r="D12" t="str">
        <x:v>High</x:v>
      </x:c>
      <x:c r="E12" t="str"/>
      <x:c r="F12" t="str">
        <x:v>Not Started</x:v>
      </x:c>
      <x:c r="G12" t="str">
        <x:v>Source filter counts match report</x:v>
      </x:c>
    </x:row>
    <x:row r="13">
      <x:c r="A13" t="str">
        <x:v>Charts</x:v>
      </x:c>
      <x:c r="B13" t="str">
        <x:v>Add sentiment, platform, brand, and top ad charts</x:v>
      </x:c>
      <x:c r="C13" t="str">
        <x:v>Dashboard should be visually useful</x:v>
      </x:c>
      <x:c r="D13" t="str">
        <x:v>Medium</x:v>
      </x:c>
      <x:c r="E13" t="str"/>
      <x:c r="F13" t="str">
        <x:v>Not Started</x:v>
      </x:c>
      <x:c r="G13" t="str">
        <x:v>Charts update when data refreshes</x:v>
      </x:c>
    </x:row>
  </x:sheetData>
  <x:mergeCells>
    <x:mergeCell ref="A1:G1"/>
  </x:mergeCells>
  <x:dataValidations count="2">
    <x:dataValidation type="list" sqref="D4:D50">
      <x:formula1>"Low,Medium,High,Urgent"</x:formula1>
    </x:dataValidation>
    <x:dataValidation type="list" sqref="F4:F50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bf55c17b6746d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20" hidden="0" customWidth="1"/>
    <x:col min="5" max="5" width="34" hidden="0" customWidth="1"/>
    <x:col min="6" max="6" width="40" hidden="0" customWidth="1"/>
  </x:cols>
  <x:sheetData>
    <x:row r="1" ht="24" customHeight="1">
      <x:c r="A1" s="168" t="str">
        <x:v>Data Dictionary &amp; Required Dashboard Export Fields</x:v>
      </x:c>
      <x:c r="B1" s="168"/>
      <x:c r="C1" s="168"/>
      <x:c r="D1" s="168"/>
      <x:c r="E1" s="168"/>
      <x:c r="F1" s="168"/>
    </x:row>
    <x:row r="3">
      <x:c r="A3" s="163" t="str">
        <x:v>Tab</x:v>
      </x:c>
      <x:c r="B3" s="163" t="str">
        <x:v>Field</x:v>
      </x:c>
      <x:c r="C3" s="163" t="str">
        <x:v>Required</x:v>
      </x:c>
      <x:c r="D3" s="163" t="str">
        <x:v>Example</x:v>
      </x:c>
      <x:c r="E3" s="163" t="str">
        <x:v>Purpose</x:v>
      </x:c>
      <x:c r="F3" s="163" t="str">
        <x:v>Notes</x:v>
      </x:c>
    </x:row>
    <x:row r="4">
      <x:c r="A4" t="str">
        <x:v>Daily_Summary_Input</x:v>
      </x:c>
      <x:c r="B4" t="str">
        <x:v>Segment</x:v>
      </x:c>
      <x:c r="C4" t="str">
        <x:v>Yes</x:v>
      </x:c>
      <x:c r="D4" t="str"/>
      <x:c r="E4" t="str">
        <x:v>Summary counts by segment and sentiment</x:v>
      </x:c>
      <x:c r="F4" t="str">
        <x:v>Export from daily sentiment report</x:v>
      </x:c>
    </x:row>
    <x:row r="5">
      <x:c r="A5" t="str">
        <x:v>Daily_Summary_Input</x:v>
      </x:c>
      <x:c r="B5" t="str">
        <x:v>Total</x:v>
      </x:c>
      <x:c r="C5" t="str">
        <x:v>Yes</x:v>
      </x:c>
      <x:c r="D5" t="str"/>
      <x:c r="E5" t="str">
        <x:v>Summary counts by segment and sentiment</x:v>
      </x:c>
      <x:c r="F5" t="str">
        <x:v>Export from daily sentiment report</x:v>
      </x:c>
    </x:row>
    <x:row r="6">
      <x:c r="A6" t="str">
        <x:v>Daily_Summary_Input</x:v>
      </x:c>
      <x:c r="B6" t="str">
        <x:v>Positive</x:v>
      </x:c>
      <x:c r="C6" t="str">
        <x:v>Yes</x:v>
      </x:c>
      <x:c r="D6" t="str"/>
      <x:c r="E6" t="str">
        <x:v>Summary counts by segment and sentiment</x:v>
      </x:c>
      <x:c r="F6" t="str">
        <x:v>Export from daily sentiment report</x:v>
      </x:c>
    </x:row>
    <x:row r="7">
      <x:c r="A7" t="str">
        <x:v>Daily_Summary_Input</x:v>
      </x:c>
      <x:c r="B7" t="str">
        <x:v>Question</x:v>
      </x:c>
      <x:c r="C7" t="str">
        <x:v>Yes</x:v>
      </x:c>
      <x:c r="D7" t="str"/>
      <x:c r="E7" t="str">
        <x:v>Summary counts by segment and sentiment</x:v>
      </x:c>
      <x:c r="F7" t="str">
        <x:v>Export from daily sentiment report</x:v>
      </x:c>
    </x:row>
    <x:row r="8">
      <x:c r="A8" t="str">
        <x:v>Daily_Summary_Input</x:v>
      </x:c>
      <x:c r="B8" t="str">
        <x:v>Neutral</x:v>
      </x:c>
      <x:c r="C8" t="str">
        <x:v>Yes</x:v>
      </x:c>
      <x:c r="D8" t="str"/>
      <x:c r="E8" t="str">
        <x:v>Summary counts by segment and sentiment</x:v>
      </x:c>
      <x:c r="F8" t="str">
        <x:v>Export from daily sentiment report</x:v>
      </x:c>
    </x:row>
    <x:row r="9">
      <x:c r="A9" t="str">
        <x:v>Daily_Summary_Input</x:v>
      </x:c>
      <x:c r="B9" t="str">
        <x:v>Negative</x:v>
      </x:c>
      <x:c r="C9" t="str">
        <x:v>Yes</x:v>
      </x:c>
      <x:c r="D9" t="str"/>
      <x:c r="E9" t="str">
        <x:v>Summary counts by segment and sentiment</x:v>
      </x:c>
      <x:c r="F9" t="str">
        <x:v>Export from daily sentiment report</x:v>
      </x:c>
    </x:row>
    <x:row r="10">
      <x:c r="A10" t="str">
        <x:v>Daily_Summary_Input</x:v>
      </x:c>
      <x:c r="B10" t="str">
        <x:v>Complaint</x:v>
      </x:c>
      <x:c r="C10" t="str">
        <x:v>Yes</x:v>
      </x:c>
      <x:c r="D10" t="str"/>
      <x:c r="E10" t="str">
        <x:v>Summary counts by segment and sentiment</x:v>
      </x:c>
      <x:c r="F10" t="str">
        <x:v>Export from daily sentiment report</x:v>
      </x:c>
    </x:row>
    <x:row r="11">
      <x:c r="A11" t="str">
        <x:v>Ad_Sentiment_Input</x:v>
      </x:c>
      <x:c r="B11" t="str">
        <x:v>Ad Name</x:v>
      </x:c>
      <x:c r="C11" t="str">
        <x:v>Yes</x:v>
      </x:c>
      <x:c r="D11" t="str"/>
      <x:c r="E11" t="str">
        <x:v>Ad-level comment and sentiment counts</x:v>
      </x:c>
      <x:c r="F11" t="str">
        <x:v>Export from dashboard by ad</x:v>
      </x:c>
    </x:row>
    <x:row r="12">
      <x:c r="A12" t="str">
        <x:v>Ad_Sentiment_Input</x:v>
      </x:c>
      <x:c r="B12" t="str">
        <x:v>Campaign</x:v>
      </x:c>
      <x:c r="C12" t="str">
        <x:v>Yes</x:v>
      </x:c>
      <x:c r="D12" t="str"/>
      <x:c r="E12" t="str">
        <x:v>Ad-level comment and sentiment counts</x:v>
      </x:c>
      <x:c r="F12" t="str">
        <x:v>Export from dashboard by ad</x:v>
      </x:c>
    </x:row>
    <x:row r="13">
      <x:c r="A13" t="str">
        <x:v>Ad_Sentiment_Input</x:v>
      </x:c>
      <x:c r="B13" t="str">
        <x:v>Brand</x:v>
      </x:c>
      <x:c r="C13" t="str">
        <x:v>Yes</x:v>
      </x:c>
      <x:c r="D13" t="str"/>
      <x:c r="E13" t="str">
        <x:v>Ad-level comment and sentiment counts</x:v>
      </x:c>
      <x:c r="F13" t="str">
        <x:v>Export from dashboard by ad</x:v>
      </x:c>
    </x:row>
    <x:row r="14">
      <x:c r="A14" t="str">
        <x:v>Ad_Sentiment_Input</x:v>
      </x:c>
      <x:c r="B14" t="str">
        <x:v>Source</x:v>
      </x:c>
      <x:c r="C14" t="str">
        <x:v>Yes</x:v>
      </x:c>
      <x:c r="D14" t="str"/>
      <x:c r="E14" t="str">
        <x:v>Ad-level comment and sentiment counts</x:v>
      </x:c>
      <x:c r="F14" t="str">
        <x:v>Export from dashboard by ad</x:v>
      </x:c>
    </x:row>
    <x:row r="15">
      <x:c r="A15" t="str">
        <x:v>Ad_Sentiment_Input</x:v>
      </x:c>
      <x:c r="B15" t="str">
        <x:v>Total</x:v>
      </x:c>
      <x:c r="C15" t="str">
        <x:v>Yes</x:v>
      </x:c>
      <x:c r="D15" t="str"/>
      <x:c r="E15" t="str">
        <x:v>Ad-level comment and sentiment counts</x:v>
      </x:c>
      <x:c r="F15" t="str">
        <x:v>Export from dashboard by ad</x:v>
      </x:c>
    </x:row>
    <x:row r="16">
      <x:c r="A16" t="str">
        <x:v>Ad_Sentiment_Input</x:v>
      </x:c>
      <x:c r="B16" t="str">
        <x:v>Positive</x:v>
      </x:c>
      <x:c r="C16" t="str">
        <x:v>Yes</x:v>
      </x:c>
      <x:c r="D16" t="str"/>
      <x:c r="E16" t="str">
        <x:v>Ad-level comment and sentiment counts</x:v>
      </x:c>
      <x:c r="F16" t="str">
        <x:v>Export from dashboard by ad</x:v>
      </x:c>
    </x:row>
    <x:row r="17">
      <x:c r="A17" t="str">
        <x:v>Ad_Sentiment_Input</x:v>
      </x:c>
      <x:c r="B17" t="str">
        <x:v>Question</x:v>
      </x:c>
      <x:c r="C17" t="str">
        <x:v>Yes</x:v>
      </x:c>
      <x:c r="D17" t="str"/>
      <x:c r="E17" t="str">
        <x:v>Ad-level comment and sentiment counts</x:v>
      </x:c>
      <x:c r="F17" t="str">
        <x:v>Export from dashboard by ad</x:v>
      </x:c>
    </x:row>
    <x:row r="18">
      <x:c r="A18" t="str">
        <x:v>Ad_Sentiment_Input</x:v>
      </x:c>
      <x:c r="B18" t="str">
        <x:v>Neutral</x:v>
      </x:c>
      <x:c r="C18" t="str">
        <x:v>Yes</x:v>
      </x:c>
      <x:c r="D18" t="str"/>
      <x:c r="E18" t="str">
        <x:v>Ad-level comment and sentiment counts</x:v>
      </x:c>
      <x:c r="F18" t="str">
        <x:v>Export from dashboard by ad</x:v>
      </x:c>
    </x:row>
    <x:row r="19">
      <x:c r="A19" t="str">
        <x:v>Ad_Sentiment_Input</x:v>
      </x:c>
      <x:c r="B19" t="str">
        <x:v>Negative</x:v>
      </x:c>
      <x:c r="C19" t="str">
        <x:v>Yes</x:v>
      </x:c>
      <x:c r="D19" t="str"/>
      <x:c r="E19" t="str">
        <x:v>Ad-level comment and sentiment counts</x:v>
      </x:c>
      <x:c r="F19" t="str">
        <x:v>Export from dashboard by ad</x:v>
      </x:c>
    </x:row>
    <x:row r="20">
      <x:c r="A20" t="str">
        <x:v>Ad_Sentiment_Input</x:v>
      </x:c>
      <x:c r="B20" t="str">
        <x:v>Complaint</x:v>
      </x:c>
      <x:c r="C20" t="str">
        <x:v>Yes</x:v>
      </x:c>
      <x:c r="D20" t="str"/>
      <x:c r="E20" t="str">
        <x:v>Ad-level comment and sentiment counts</x:v>
      </x:c>
      <x:c r="F20" t="str">
        <x:v>Export from dashboard by ad</x:v>
      </x:c>
    </x:row>
    <x:row r="21">
      <x:c r="A21" t="str">
        <x:v>Comments_Input</x:v>
      </x:c>
      <x:c r="B21" t="str">
        <x:v>Comment_ID</x:v>
      </x:c>
      <x:c r="C21" t="str">
        <x:v>Recommended</x:v>
      </x:c>
      <x:c r="D21" t="str"/>
      <x:c r="E21" t="str">
        <x:v>Latest comments / home screen feed</x:v>
      </x:c>
      <x:c r="F21" t="str">
        <x:v>Needed for today-only comments</x:v>
      </x:c>
    </x:row>
    <x:row r="22">
      <x:c r="A22" t="str">
        <x:v>Comments_Input</x:v>
      </x:c>
      <x:c r="B22" t="str">
        <x:v>Comment_Date</x:v>
      </x:c>
      <x:c r="C22" t="str">
        <x:v>Recommended</x:v>
      </x:c>
      <x:c r="D22" t="str"/>
      <x:c r="E22" t="str">
        <x:v>Latest comments / home screen feed</x:v>
      </x:c>
      <x:c r="F22" t="str">
        <x:v>Needed for today-only comments</x:v>
      </x:c>
    </x:row>
    <x:row r="23">
      <x:c r="A23" t="str">
        <x:v>Comments_Input</x:v>
      </x:c>
      <x:c r="B23" t="str">
        <x:v>Comment_Time</x:v>
      </x:c>
      <x:c r="C23" t="str">
        <x:v>Recommended</x:v>
      </x:c>
      <x:c r="D23" t="str"/>
      <x:c r="E23" t="str">
        <x:v>Latest comments / home screen feed</x:v>
      </x:c>
      <x:c r="F23" t="str">
        <x:v>Needed for today-only comments</x:v>
      </x:c>
    </x:row>
    <x:row r="24">
      <x:c r="A24" t="str">
        <x:v>Comments_Input</x:v>
      </x:c>
      <x:c r="B24" t="str">
        <x:v>Brand</x:v>
      </x:c>
      <x:c r="C24" t="str">
        <x:v>Recommended</x:v>
      </x:c>
      <x:c r="D24" t="str"/>
      <x:c r="E24" t="str">
        <x:v>Latest comments / home screen feed</x:v>
      </x:c>
      <x:c r="F24" t="str">
        <x:v>Needed for today-only comments</x:v>
      </x:c>
    </x:row>
    <x:row r="25">
      <x:c r="A25" t="str">
        <x:v>Comments_Input</x:v>
      </x:c>
      <x:c r="B25" t="str">
        <x:v>Platform</x:v>
      </x:c>
      <x:c r="C25" t="str">
        <x:v>Recommended</x:v>
      </x:c>
      <x:c r="D25" t="str"/>
      <x:c r="E25" t="str">
        <x:v>Latest comments / home screen feed</x:v>
      </x:c>
      <x:c r="F25" t="str">
        <x:v>Needed for today-only comments</x:v>
      </x:c>
    </x:row>
    <x:row r="26">
      <x:c r="A26" t="str">
        <x:v>Comments_Input</x:v>
      </x:c>
      <x:c r="B26" t="str">
        <x:v>Source</x:v>
      </x:c>
      <x:c r="C26" t="str">
        <x:v>Recommended</x:v>
      </x:c>
      <x:c r="D26" t="str"/>
      <x:c r="E26" t="str">
        <x:v>Latest comments / home screen feed</x:v>
      </x:c>
      <x:c r="F26" t="str">
        <x:v>Needed for today-only comments</x:v>
      </x:c>
    </x:row>
    <x:row r="27">
      <x:c r="A27" t="str">
        <x:v>Comments_Input</x:v>
      </x:c>
      <x:c r="B27" t="str">
        <x:v>Ad_Name</x:v>
      </x:c>
      <x:c r="C27" t="str">
        <x:v>Recommended</x:v>
      </x:c>
      <x:c r="D27" t="str"/>
      <x:c r="E27" t="str">
        <x:v>Latest comments / home screen feed</x:v>
      </x:c>
      <x:c r="F27" t="str">
        <x:v>Needed for today-only comments</x:v>
      </x:c>
    </x:row>
    <x:row r="28">
      <x:c r="A28" t="str">
        <x:v>Comments_Input</x:v>
      </x:c>
      <x:c r="B28" t="str">
        <x:v>Campaign</x:v>
      </x:c>
      <x:c r="C28" t="str">
        <x:v>Recommended</x:v>
      </x:c>
      <x:c r="D28" t="str"/>
      <x:c r="E28" t="str">
        <x:v>Latest comments / home screen feed</x:v>
      </x:c>
      <x:c r="F28" t="str">
        <x:v>Needed for today-only comments</x:v>
      </x:c>
    </x:row>
    <x:row r="29">
      <x:c r="A29" t="str">
        <x:v>Comments_Input</x:v>
      </x:c>
      <x:c r="B29" t="str">
        <x:v>Comment_Text</x:v>
      </x:c>
      <x:c r="C29" t="str">
        <x:v>Recommended</x:v>
      </x:c>
      <x:c r="D29" t="str"/>
      <x:c r="E29" t="str">
        <x:v>Latest comments / home screen feed</x:v>
      </x:c>
      <x:c r="F29" t="str">
        <x:v>Needed for today-only comments</x:v>
      </x:c>
    </x:row>
    <x:row r="30">
      <x:c r="A30" t="str">
        <x:v>Comments_Input</x:v>
      </x:c>
      <x:c r="B30" t="str">
        <x:v>Sentiment</x:v>
      </x:c>
      <x:c r="C30" t="str">
        <x:v>Recommended</x:v>
      </x:c>
      <x:c r="D30" t="str"/>
      <x:c r="E30" t="str">
        <x:v>Latest comments / home screen feed</x:v>
      </x:c>
      <x:c r="F30" t="str">
        <x:v>Needed for today-only comments</x:v>
      </x:c>
    </x:row>
    <x:row r="31">
      <x:c r="A31" t="str">
        <x:v>Comments_Input</x:v>
      </x:c>
      <x:c r="B31" t="str">
        <x:v>Status</x:v>
      </x:c>
      <x:c r="C31" t="str">
        <x:v>Recommended</x:v>
      </x:c>
      <x:c r="D31" t="str"/>
      <x:c r="E31" t="str">
        <x:v>Latest comments / home screen feed</x:v>
      </x:c>
      <x:c r="F31" t="str">
        <x:v>Needed for today-only comments</x:v>
      </x:c>
    </x:row>
    <x:row r="32">
      <x:c r="A32" t="str">
        <x:v>Comments_Input</x:v>
      </x:c>
      <x:c r="B32" t="str">
        <x:v>Priority</x:v>
      </x:c>
      <x:c r="C32" t="str">
        <x:v>Recommended</x:v>
      </x:c>
      <x:c r="D32" t="str"/>
      <x:c r="E32" t="str">
        <x:v>Latest comments / home screen feed</x:v>
      </x:c>
      <x:c r="F32" t="str">
        <x:v>Needed for today-only comments</x:v>
      </x:c>
    </x:row>
    <x:row r="33">
      <x:c r="A33" t="str">
        <x:v>Comments_Input</x:v>
      </x:c>
      <x:c r="B33" t="str">
        <x:v>Moderator</x:v>
      </x:c>
      <x:c r="C33" t="str">
        <x:v>Recommended</x:v>
      </x:c>
      <x:c r="D33" t="str"/>
      <x:c r="E33" t="str">
        <x:v>Latest comments / home screen feed</x:v>
      </x:c>
      <x:c r="F33" t="str">
        <x:v>Needed for today-only comments</x:v>
      </x:c>
    </x:row>
    <x:row r="34">
      <x:c r="A34" t="str">
        <x:v>Comments_Input</x:v>
      </x:c>
      <x:c r="B34" t="str">
        <x:v>SLA_Minutes</x:v>
      </x:c>
      <x:c r="C34" t="str">
        <x:v>Recommended</x:v>
      </x:c>
      <x:c r="D34" t="str"/>
      <x:c r="E34" t="str">
        <x:v>Latest comments / home screen feed</x:v>
      </x:c>
      <x:c r="F34" t="str">
        <x:v>Needed for today-only comments</x:v>
      </x:c>
    </x:row>
    <x:row r="35">
      <x:c r="A35" t="str">
        <x:v>Comments_Input</x:v>
      </x:c>
      <x:c r="B35" t="str">
        <x:v>Is_Today</x:v>
      </x:c>
      <x:c r="C35" t="str">
        <x:v>Recommended</x:v>
      </x:c>
      <x:c r="D35" t="str"/>
      <x:c r="E35" t="str">
        <x:v>Latest comments / home screen feed</x:v>
      </x:c>
      <x:c r="F35" t="str">
        <x:v>Needed for today-only comments</x:v>
      </x:c>
    </x:row>
    <x:row r="36">
      <x:c r="A36" t="str">
        <x:v>Comments_Input</x:v>
      </x:c>
      <x:c r="B36" t="str">
        <x:v>Is_High_Spend</x:v>
      </x:c>
      <x:c r="C36" t="str">
        <x:v>Recommended</x:v>
      </x:c>
      <x:c r="D36" t="str"/>
      <x:c r="E36" t="str">
        <x:v>Latest comments / home screen feed</x:v>
      </x:c>
      <x:c r="F36" t="str">
        <x:v>Needed for today-only comments</x:v>
      </x:c>
    </x:row>
    <x:row r="37">
      <x:c r="A37" t="str">
        <x:v>Comments_Input</x:v>
      </x:c>
      <x:c r="B37" t="str">
        <x:v>Notes</x:v>
      </x:c>
      <x:c r="C37" t="str">
        <x:v>Recommended</x:v>
      </x:c>
      <x:c r="D37" t="str"/>
      <x:c r="E37" t="str">
        <x:v>Latest comments / home screen feed</x:v>
      </x:c>
      <x:c r="F37" t="str">
        <x:v>Needed for today-only comments</x:v>
      </x:c>
    </x:row>
    <x:row r="38">
      <x:c r="A38" t="str">
        <x:v>Ads_Performance_Input</x:v>
      </x:c>
      <x:c r="B38" t="str">
        <x:v>Date</x:v>
      </x:c>
      <x:c r="C38" t="str">
        <x:v>Recommended</x:v>
      </x:c>
      <x:c r="D38" t="str"/>
      <x:c r="E38" t="str">
        <x:v>High spend ads report</x:v>
      </x:c>
      <x:c r="F38" t="str">
        <x:v>Needed for spend/ROAS/CTR metrics</x:v>
      </x:c>
    </x:row>
    <x:row r="39">
      <x:c r="A39" t="str">
        <x:v>Ads_Performance_Input</x:v>
      </x:c>
      <x:c r="B39" t="str">
        <x:v>Brand</x:v>
      </x:c>
      <x:c r="C39" t="str">
        <x:v>Recommended</x:v>
      </x:c>
      <x:c r="D39" t="str"/>
      <x:c r="E39" t="str">
        <x:v>High spend ads report</x:v>
      </x:c>
      <x:c r="F39" t="str">
        <x:v>Needed for spend/ROAS/CTR metrics</x:v>
      </x:c>
    </x:row>
    <x:row r="40">
      <x:c r="A40" t="str">
        <x:v>Ads_Performance_Input</x:v>
      </x:c>
      <x:c r="B40" t="str">
        <x:v>Platform</x:v>
      </x:c>
      <x:c r="C40" t="str">
        <x:v>Recommended</x:v>
      </x:c>
      <x:c r="D40" t="str"/>
      <x:c r="E40" t="str">
        <x:v>High spend ads report</x:v>
      </x:c>
      <x:c r="F40" t="str">
        <x:v>Needed for spend/ROAS/CTR metrics</x:v>
      </x:c>
    </x:row>
    <x:row r="41">
      <x:c r="A41" t="str">
        <x:v>Ads_Performance_Input</x:v>
      </x:c>
      <x:c r="B41" t="str">
        <x:v>Source</x:v>
      </x:c>
      <x:c r="C41" t="str">
        <x:v>Recommended</x:v>
      </x:c>
      <x:c r="D41" t="str"/>
      <x:c r="E41" t="str">
        <x:v>High spend ads report</x:v>
      </x:c>
      <x:c r="F41" t="str">
        <x:v>Needed for spend/ROAS/CTR metrics</x:v>
      </x:c>
    </x:row>
    <x:row r="42">
      <x:c r="A42" t="str">
        <x:v>Ads_Performance_Input</x:v>
      </x:c>
      <x:c r="B42" t="str">
        <x:v>Ad_Name</x:v>
      </x:c>
      <x:c r="C42" t="str">
        <x:v>Recommended</x:v>
      </x:c>
      <x:c r="D42" t="str"/>
      <x:c r="E42" t="str">
        <x:v>High spend ads report</x:v>
      </x:c>
      <x:c r="F42" t="str">
        <x:v>Needed for spend/ROAS/CTR metrics</x:v>
      </x:c>
    </x:row>
    <x:row r="43">
      <x:c r="A43" t="str">
        <x:v>Ads_Performance_Input</x:v>
      </x:c>
      <x:c r="B43" t="str">
        <x:v>Campaign</x:v>
      </x:c>
      <x:c r="C43" t="str">
        <x:v>Recommended</x:v>
      </x:c>
      <x:c r="D43" t="str"/>
      <x:c r="E43" t="str">
        <x:v>High spend ads report</x:v>
      </x:c>
      <x:c r="F43" t="str">
        <x:v>Needed for spend/ROAS/CTR metrics</x:v>
      </x:c>
    </x:row>
    <x:row r="44">
      <x:c r="A44" t="str">
        <x:v>Ads_Performance_Input</x:v>
      </x:c>
      <x:c r="B44" t="str">
        <x:v>Spend</x:v>
      </x:c>
      <x:c r="C44" t="str">
        <x:v>Recommended</x:v>
      </x:c>
      <x:c r="D44" t="str"/>
      <x:c r="E44" t="str">
        <x:v>High spend ads report</x:v>
      </x:c>
      <x:c r="F44" t="str">
        <x:v>Needed for spend/ROAS/CTR metrics</x:v>
      </x:c>
    </x:row>
    <x:row r="45">
      <x:c r="A45" t="str">
        <x:v>Ads_Performance_Input</x:v>
      </x:c>
      <x:c r="B45" t="str">
        <x:v>Impressions</x:v>
      </x:c>
      <x:c r="C45" t="str">
        <x:v>Recommended</x:v>
      </x:c>
      <x:c r="D45" t="str"/>
      <x:c r="E45" t="str">
        <x:v>High spend ads report</x:v>
      </x:c>
      <x:c r="F45" t="str">
        <x:v>Needed for spend/ROAS/CTR metrics</x:v>
      </x:c>
    </x:row>
    <x:row r="46">
      <x:c r="A46" t="str">
        <x:v>Ads_Performance_Input</x:v>
      </x:c>
      <x:c r="B46" t="str">
        <x:v>Reach</x:v>
      </x:c>
      <x:c r="C46" t="str">
        <x:v>Recommended</x:v>
      </x:c>
      <x:c r="D46" t="str"/>
      <x:c r="E46" t="str">
        <x:v>High spend ads report</x:v>
      </x:c>
      <x:c r="F46" t="str">
        <x:v>Needed for spend/ROAS/CTR metrics</x:v>
      </x:c>
    </x:row>
    <x:row r="47">
      <x:c r="A47" t="str">
        <x:v>Ads_Performance_Input</x:v>
      </x:c>
      <x:c r="B47" t="str">
        <x:v>CTR</x:v>
      </x:c>
      <x:c r="C47" t="str">
        <x:v>Recommended</x:v>
      </x:c>
      <x:c r="D47" t="str"/>
      <x:c r="E47" t="str">
        <x:v>High spend ads report</x:v>
      </x:c>
      <x:c r="F47" t="str">
        <x:v>Needed for spend/ROAS/CTR metrics</x:v>
      </x:c>
    </x:row>
    <x:row r="48">
      <x:c r="A48" t="str">
        <x:v>Ads_Performance_Input</x:v>
      </x:c>
      <x:c r="B48" t="str">
        <x:v>CPC</x:v>
      </x:c>
      <x:c r="C48" t="str">
        <x:v>Recommended</x:v>
      </x:c>
      <x:c r="D48" t="str"/>
      <x:c r="E48" t="str">
        <x:v>High spend ads report</x:v>
      </x:c>
      <x:c r="F48" t="str">
        <x:v>Needed for spend/ROAS/CTR metrics</x:v>
      </x:c>
    </x:row>
    <x:row r="49">
      <x:c r="A49" t="str">
        <x:v>Ads_Performance_Input</x:v>
      </x:c>
      <x:c r="B49" t="str">
        <x:v>CPM</x:v>
      </x:c>
      <x:c r="C49" t="str">
        <x:v>Recommended</x:v>
      </x:c>
      <x:c r="D49" t="str"/>
      <x:c r="E49" t="str">
        <x:v>High spend ads report</x:v>
      </x:c>
      <x:c r="F49" t="str">
        <x:v>Needed for spend/ROAS/CTR metrics</x:v>
      </x:c>
    </x:row>
    <x:row r="50">
      <x:c r="A50" t="str">
        <x:v>Ads_Performance_Input</x:v>
      </x:c>
      <x:c r="B50" t="str">
        <x:v>ROAS</x:v>
      </x:c>
      <x:c r="C50" t="str">
        <x:v>Recommended</x:v>
      </x:c>
      <x:c r="D50" t="str"/>
      <x:c r="E50" t="str">
        <x:v>High spend ads report</x:v>
      </x:c>
      <x:c r="F50" t="str">
        <x:v>Needed for spend/ROAS/CTR metrics</x:v>
      </x:c>
    </x:row>
    <x:row r="51">
      <x:c r="A51" t="str">
        <x:v>Ads_Performance_Input</x:v>
      </x:c>
      <x:c r="B51" t="str">
        <x:v>Comments</x:v>
      </x:c>
      <x:c r="C51" t="str">
        <x:v>Recommended</x:v>
      </x:c>
      <x:c r="D51" t="str"/>
      <x:c r="E51" t="str">
        <x:v>High spend ads report</x:v>
      </x:c>
      <x:c r="F51" t="str">
        <x:v>Needed for spend/ROAS/CTR metrics</x:v>
      </x:c>
    </x:row>
    <x:row r="52">
      <x:c r="A52" t="str">
        <x:v>Ads_Performance_Input</x:v>
      </x:c>
      <x:c r="B52" t="str">
        <x:v>Negative</x:v>
      </x:c>
      <x:c r="C52" t="str">
        <x:v>Recommended</x:v>
      </x:c>
      <x:c r="D52" t="str"/>
      <x:c r="E52" t="str">
        <x:v>High spend ads report</x:v>
      </x:c>
      <x:c r="F52" t="str">
        <x:v>Needed for spend/ROAS/CTR metrics</x:v>
      </x:c>
    </x:row>
    <x:row r="53">
      <x:c r="A53" t="str">
        <x:v>Ads_Performance_Input</x:v>
      </x:c>
      <x:c r="B53" t="str">
        <x:v>Complaint</x:v>
      </x:c>
      <x:c r="C53" t="str">
        <x:v>Recommended</x:v>
      </x:c>
      <x:c r="D53" t="str"/>
      <x:c r="E53" t="str">
        <x:v>High spend ads report</x:v>
      </x:c>
      <x:c r="F53" t="str">
        <x:v>Needed for spend/ROAS/CTR metrics</x:v>
      </x:c>
    </x:row>
    <x:row r="54">
      <x:c r="A54" t="str">
        <x:v>Ads_Performance_Input</x:v>
      </x:c>
      <x:c r="B54" t="str">
        <x:v>Priority</x:v>
      </x:c>
      <x:c r="C54" t="str">
        <x:v>Recommended</x:v>
      </x:c>
      <x:c r="D54" t="str"/>
      <x:c r="E54" t="str">
        <x:v>High spend ads report</x:v>
      </x:c>
      <x:c r="F54" t="str">
        <x:v>Needed for spend/ROAS/CTR metrics</x:v>
      </x:c>
    </x:row>
    <x:row r="55">
      <x:c r="A55" t="str">
        <x:v>Ads_Performance_Input</x:v>
      </x:c>
      <x:c r="B55" t="str">
        <x:v>Ad_URL</x:v>
      </x:c>
      <x:c r="C55" t="str">
        <x:v>Recommended</x:v>
      </x:c>
      <x:c r="D55" t="str"/>
      <x:c r="E55" t="str">
        <x:v>High spend ads report</x:v>
      </x:c>
      <x:c r="F55" t="str">
        <x:v>Needed for spend/ROAS/CTR metrics</x:v>
      </x:c>
    </x:row>
    <x:row r="56">
      <x:c r="A56" t="str">
        <x:v>Ads_Performance_Input</x:v>
      </x:c>
      <x:c r="B56" t="str">
        <x:v>Thumbnail_URL</x:v>
      </x:c>
      <x:c r="C56" t="str">
        <x:v>Recommended</x:v>
      </x:c>
      <x:c r="D56" t="str"/>
      <x:c r="E56" t="str">
        <x:v>High spend ads report</x:v>
      </x:c>
      <x:c r="F56" t="str">
        <x:v>Needed for spend/ROAS/CTR metrics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ac077e802784dc6"/>
  </x:tableParts>
</x:worksheet>
</file>